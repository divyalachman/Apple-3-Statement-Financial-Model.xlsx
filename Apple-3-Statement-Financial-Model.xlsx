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advani/Downloads/"/>
    </mc:Choice>
  </mc:AlternateContent>
  <xr:revisionPtr revIDLastSave="0" documentId="8_{EDED2D6B-414B-B441-9719-25FACC196068}" xr6:coauthVersionLast="47" xr6:coauthVersionMax="47" xr10:uidLastSave="{00000000-0000-0000-0000-000000000000}"/>
  <bookViews>
    <workbookView xWindow="920" yWindow="580" windowWidth="23340" windowHeight="14600" xr2:uid="{05558F8B-198B-F247-85F5-DA1D56D063A3}"/>
  </bookViews>
  <sheets>
    <sheet name="Cover" sheetId="1" r:id="rId1"/>
    <sheet name="Historical Financials " sheetId="2" r:id="rId2"/>
    <sheet name="Assumptions" sheetId="3" r:id="rId3"/>
    <sheet name="Income Statement" sheetId="4" r:id="rId4"/>
    <sheet name="Balance Sheet" sheetId="5" r:id="rId5"/>
    <sheet name="Cash Flow" sheetId="6" r:id="rId6"/>
    <sheet name="Checks" sheetId="7" r:id="rId7"/>
    <sheet name="Summary 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8" l="1"/>
  <c r="D7" i="8"/>
  <c r="E7" i="8"/>
  <c r="F7" i="8"/>
  <c r="C8" i="8"/>
  <c r="D8" i="8"/>
  <c r="E8" i="8"/>
  <c r="F8" i="8"/>
  <c r="C9" i="8"/>
  <c r="D9" i="8"/>
  <c r="E9" i="8"/>
  <c r="F9" i="8"/>
  <c r="C10" i="8"/>
  <c r="D10" i="8"/>
  <c r="E10" i="8"/>
  <c r="F10" i="8"/>
  <c r="C11" i="8"/>
  <c r="D11" i="8"/>
  <c r="E11" i="8"/>
  <c r="F11" i="8"/>
  <c r="C12" i="8"/>
  <c r="D12" i="8"/>
  <c r="E12" i="8"/>
  <c r="F12" i="8"/>
  <c r="C13" i="8"/>
  <c r="D13" i="8"/>
  <c r="E13" i="8"/>
  <c r="F13" i="8"/>
  <c r="C14" i="8"/>
  <c r="D14" i="8"/>
  <c r="E14" i="8"/>
  <c r="F14" i="8"/>
  <c r="C15" i="8"/>
  <c r="D15" i="8"/>
  <c r="E15" i="8"/>
  <c r="F15" i="8"/>
  <c r="C18" i="8"/>
  <c r="D18" i="8"/>
  <c r="E18" i="8"/>
  <c r="F18" i="8"/>
  <c r="B18" i="8"/>
  <c r="B15" i="8"/>
  <c r="B14" i="8"/>
  <c r="B13" i="8"/>
  <c r="B12" i="8"/>
  <c r="B11" i="8"/>
  <c r="B10" i="8"/>
  <c r="B9" i="8"/>
  <c r="B8" i="8"/>
  <c r="B7" i="8"/>
  <c r="B6" i="7"/>
  <c r="E31" i="5"/>
  <c r="F31" i="5" s="1"/>
  <c r="E12" i="5"/>
  <c r="F12" i="5" s="1"/>
  <c r="G12" i="5" s="1"/>
  <c r="H12" i="5" s="1"/>
  <c r="I12" i="5" s="1"/>
  <c r="D17" i="3"/>
  <c r="C17" i="3"/>
  <c r="E33" i="4"/>
  <c r="F33" i="4" s="1"/>
  <c r="G33" i="4" s="1"/>
  <c r="H33" i="4" s="1"/>
  <c r="I33" i="4" s="1"/>
  <c r="D9" i="5"/>
  <c r="B30" i="6" s="1"/>
  <c r="D10" i="5"/>
  <c r="E10" i="5" s="1"/>
  <c r="F10" i="5" s="1"/>
  <c r="G10" i="5" s="1"/>
  <c r="H10" i="5" s="1"/>
  <c r="I10" i="5" s="1"/>
  <c r="D11" i="5"/>
  <c r="D12" i="5"/>
  <c r="D13" i="5"/>
  <c r="D14" i="5"/>
  <c r="D15" i="5"/>
  <c r="D17" i="5"/>
  <c r="E17" i="5" s="1"/>
  <c r="D18" i="5"/>
  <c r="E18" i="5" s="1"/>
  <c r="F18" i="5" s="1"/>
  <c r="G18" i="5" s="1"/>
  <c r="H18" i="5" s="1"/>
  <c r="I18" i="5" s="1"/>
  <c r="D19" i="5"/>
  <c r="E19" i="5" s="1"/>
  <c r="F19" i="5" s="1"/>
  <c r="G19" i="5" s="1"/>
  <c r="H19" i="5" s="1"/>
  <c r="I19" i="5" s="1"/>
  <c r="D20" i="5"/>
  <c r="D21" i="5"/>
  <c r="D24" i="5"/>
  <c r="D25" i="5"/>
  <c r="D26" i="5"/>
  <c r="D27" i="5"/>
  <c r="E27" i="5" s="1"/>
  <c r="F27" i="5" s="1"/>
  <c r="G27" i="5" s="1"/>
  <c r="H27" i="5" s="1"/>
  <c r="I27" i="5" s="1"/>
  <c r="D28" i="5"/>
  <c r="E28" i="5" s="1"/>
  <c r="F28" i="5" s="1"/>
  <c r="G28" i="5" s="1"/>
  <c r="H28" i="5" s="1"/>
  <c r="I28" i="5" s="1"/>
  <c r="D29" i="5"/>
  <c r="D31" i="5"/>
  <c r="D32" i="5"/>
  <c r="E32" i="5" s="1"/>
  <c r="F32" i="5" s="1"/>
  <c r="G32" i="5" s="1"/>
  <c r="H32" i="5" s="1"/>
  <c r="I32" i="5" s="1"/>
  <c r="D33" i="5"/>
  <c r="D34" i="5"/>
  <c r="D37" i="5"/>
  <c r="E37" i="5" s="1"/>
  <c r="F37" i="5" s="1"/>
  <c r="G37" i="5" s="1"/>
  <c r="H37" i="5" s="1"/>
  <c r="I37" i="5" s="1"/>
  <c r="D38" i="5"/>
  <c r="D39" i="5"/>
  <c r="E39" i="5" s="1"/>
  <c r="F39" i="5" s="1"/>
  <c r="G39" i="5" s="1"/>
  <c r="H39" i="5" s="1"/>
  <c r="I39" i="5" s="1"/>
  <c r="D40" i="5"/>
  <c r="D41" i="5"/>
  <c r="C41" i="5"/>
  <c r="C40" i="5"/>
  <c r="C39" i="5"/>
  <c r="C38" i="5"/>
  <c r="C37" i="5"/>
  <c r="C34" i="5"/>
  <c r="C33" i="5"/>
  <c r="C32" i="5"/>
  <c r="C31" i="5"/>
  <c r="C29" i="5"/>
  <c r="C28" i="5"/>
  <c r="C27" i="5"/>
  <c r="C26" i="5"/>
  <c r="C25" i="5"/>
  <c r="C24" i="5"/>
  <c r="C21" i="5"/>
  <c r="C20" i="5"/>
  <c r="C19" i="5"/>
  <c r="C18" i="5"/>
  <c r="C17" i="5"/>
  <c r="C15" i="5"/>
  <c r="C14" i="5"/>
  <c r="C13" i="5"/>
  <c r="C12" i="5"/>
  <c r="C11" i="5"/>
  <c r="C10" i="5"/>
  <c r="C9" i="5"/>
  <c r="C8" i="4"/>
  <c r="D8" i="4"/>
  <c r="C9" i="4"/>
  <c r="D9" i="4"/>
  <c r="C10" i="4"/>
  <c r="D10" i="4"/>
  <c r="C13" i="4"/>
  <c r="D13" i="4"/>
  <c r="C14" i="4"/>
  <c r="D14" i="4"/>
  <c r="C15" i="4"/>
  <c r="D15" i="4"/>
  <c r="C17" i="4"/>
  <c r="D17" i="4"/>
  <c r="C20" i="4"/>
  <c r="D20" i="4"/>
  <c r="C21" i="4"/>
  <c r="D21" i="4"/>
  <c r="C22" i="4"/>
  <c r="D22" i="4"/>
  <c r="C24" i="4"/>
  <c r="D24" i="4"/>
  <c r="C25" i="4"/>
  <c r="D25" i="4"/>
  <c r="C26" i="4"/>
  <c r="D26" i="4"/>
  <c r="C27" i="4"/>
  <c r="D27" i="4"/>
  <c r="C28" i="4"/>
  <c r="D28" i="4"/>
  <c r="C30" i="4"/>
  <c r="D30" i="4"/>
  <c r="C31" i="4"/>
  <c r="D31" i="4"/>
  <c r="C32" i="4"/>
  <c r="D32" i="4"/>
  <c r="E32" i="4" s="1"/>
  <c r="F32" i="4" s="1"/>
  <c r="G32" i="4" s="1"/>
  <c r="H32" i="4" s="1"/>
  <c r="I32" i="4" s="1"/>
  <c r="C33" i="4"/>
  <c r="D33" i="4"/>
  <c r="B33" i="4"/>
  <c r="B32" i="4"/>
  <c r="B31" i="4"/>
  <c r="B30" i="4"/>
  <c r="B28" i="4"/>
  <c r="B27" i="4"/>
  <c r="B26" i="4"/>
  <c r="B24" i="4"/>
  <c r="B25" i="4"/>
  <c r="B22" i="4"/>
  <c r="B21" i="4"/>
  <c r="B20" i="4"/>
  <c r="B17" i="4"/>
  <c r="B15" i="4"/>
  <c r="B14" i="4"/>
  <c r="B13" i="4"/>
  <c r="B10" i="4"/>
  <c r="B9" i="4"/>
  <c r="B8" i="4"/>
  <c r="D30" i="3"/>
  <c r="D31" i="3" s="1"/>
  <c r="C30" i="3"/>
  <c r="D29" i="3"/>
  <c r="C29" i="3"/>
  <c r="C31" i="3" s="1"/>
  <c r="C24" i="3"/>
  <c r="D24" i="3"/>
  <c r="C25" i="3"/>
  <c r="D25" i="3"/>
  <c r="C26" i="3"/>
  <c r="E26" i="3" s="1"/>
  <c r="D26" i="3"/>
  <c r="B24" i="3"/>
  <c r="B26" i="3"/>
  <c r="B25" i="3"/>
  <c r="E25" i="3" s="1"/>
  <c r="F25" i="3" s="1"/>
  <c r="G25" i="3" s="1"/>
  <c r="C22" i="3"/>
  <c r="D22" i="3"/>
  <c r="C23" i="3"/>
  <c r="F23" i="3" s="1"/>
  <c r="D23" i="3"/>
  <c r="B23" i="3"/>
  <c r="E23" i="3" s="1"/>
  <c r="B22" i="3"/>
  <c r="D19" i="3"/>
  <c r="C19" i="3"/>
  <c r="D18" i="3"/>
  <c r="C18" i="3"/>
  <c r="D16" i="3"/>
  <c r="C16" i="3"/>
  <c r="D15" i="3"/>
  <c r="C15" i="3"/>
  <c r="D14" i="3"/>
  <c r="C14" i="3"/>
  <c r="E14" i="3" s="1"/>
  <c r="F14" i="3" s="1"/>
  <c r="G14" i="3" s="1"/>
  <c r="C11" i="3"/>
  <c r="D11" i="3"/>
  <c r="C10" i="3"/>
  <c r="D10" i="3"/>
  <c r="C9" i="3"/>
  <c r="D9" i="3"/>
  <c r="C8" i="3"/>
  <c r="D8" i="3"/>
  <c r="B11" i="3"/>
  <c r="E11" i="3" s="1"/>
  <c r="F11" i="3" s="1"/>
  <c r="G11" i="3" s="1"/>
  <c r="H11" i="3" s="1"/>
  <c r="I11" i="3" s="1"/>
  <c r="J11" i="3" s="1"/>
  <c r="B10" i="3"/>
  <c r="B9" i="3"/>
  <c r="B8" i="3"/>
  <c r="C7" i="3"/>
  <c r="D7" i="3"/>
  <c r="B7" i="3"/>
  <c r="E5" i="3"/>
  <c r="F5" i="3" s="1"/>
  <c r="C6" i="3"/>
  <c r="E6" i="3" s="1"/>
  <c r="F6" i="3" s="1"/>
  <c r="G6" i="3" s="1"/>
  <c r="H6" i="3" s="1"/>
  <c r="I6" i="3" s="1"/>
  <c r="J6" i="3" s="1"/>
  <c r="D6" i="3"/>
  <c r="B6" i="3"/>
  <c r="D5" i="3"/>
  <c r="C5" i="3"/>
  <c r="E18" i="3" l="1"/>
  <c r="E15" i="3"/>
  <c r="F15" i="3" s="1"/>
  <c r="G15" i="3" s="1"/>
  <c r="E22" i="3"/>
  <c r="E16" i="3"/>
  <c r="F16" i="3" s="1"/>
  <c r="G16" i="3" s="1"/>
  <c r="G5" i="3"/>
  <c r="H5" i="3" s="1"/>
  <c r="I5" i="3" s="1"/>
  <c r="J5" i="3" s="1"/>
  <c r="E10" i="4"/>
  <c r="F17" i="5"/>
  <c r="E20" i="5"/>
  <c r="F17" i="3"/>
  <c r="G31" i="5"/>
  <c r="F33" i="5"/>
  <c r="F22" i="3"/>
  <c r="G22" i="3" s="1"/>
  <c r="H22" i="3" s="1"/>
  <c r="E7" i="3"/>
  <c r="F7" i="3" s="1"/>
  <c r="G7" i="3" s="1"/>
  <c r="H7" i="3" s="1"/>
  <c r="I7" i="3" s="1"/>
  <c r="J7" i="3" s="1"/>
  <c r="E33" i="5"/>
  <c r="E17" i="3"/>
  <c r="F18" i="3"/>
  <c r="E8" i="3"/>
  <c r="F8" i="3" s="1"/>
  <c r="G8" i="3" s="1"/>
  <c r="H8" i="3" s="1"/>
  <c r="I8" i="3" s="1"/>
  <c r="J8" i="3" s="1"/>
  <c r="E19" i="3"/>
  <c r="E9" i="3"/>
  <c r="F9" i="3" s="1"/>
  <c r="G9" i="3" s="1"/>
  <c r="H9" i="3" s="1"/>
  <c r="I9" i="3" s="1"/>
  <c r="J9" i="3" s="1"/>
  <c r="E10" i="3"/>
  <c r="F10" i="3" s="1"/>
  <c r="G10" i="3" s="1"/>
  <c r="H10" i="3" s="1"/>
  <c r="I10" i="3" s="1"/>
  <c r="J10" i="3" s="1"/>
  <c r="E24" i="3"/>
  <c r="F24" i="3" s="1"/>
  <c r="F26" i="3"/>
  <c r="G23" i="3"/>
  <c r="H25" i="3"/>
  <c r="H14" i="3"/>
  <c r="F20" i="5" l="1"/>
  <c r="G17" i="5"/>
  <c r="H15" i="3"/>
  <c r="I15" i="3" s="1"/>
  <c r="G19" i="3"/>
  <c r="H19" i="3"/>
  <c r="I22" i="3"/>
  <c r="J22" i="3" s="1"/>
  <c r="G17" i="3"/>
  <c r="F19" i="3"/>
  <c r="E14" i="5"/>
  <c r="B14" i="6" s="1"/>
  <c r="F10" i="4"/>
  <c r="E25" i="4"/>
  <c r="E17" i="4"/>
  <c r="E15" i="4" s="1"/>
  <c r="B26" i="6"/>
  <c r="E13" i="5"/>
  <c r="B13" i="6" s="1"/>
  <c r="E9" i="4"/>
  <c r="E25" i="5"/>
  <c r="B16" i="6" s="1"/>
  <c r="E8" i="4"/>
  <c r="E11" i="5"/>
  <c r="B12" i="6" s="1"/>
  <c r="E21" i="4"/>
  <c r="B21" i="6"/>
  <c r="B22" i="6" s="1"/>
  <c r="B11" i="6"/>
  <c r="E20" i="4"/>
  <c r="E22" i="4" s="1"/>
  <c r="B10" i="6"/>
  <c r="G33" i="5"/>
  <c r="H31" i="5"/>
  <c r="H16" i="3"/>
  <c r="I16" i="3"/>
  <c r="G18" i="3"/>
  <c r="G26" i="3"/>
  <c r="H26" i="3" s="1"/>
  <c r="G24" i="3"/>
  <c r="H24" i="3" s="1"/>
  <c r="I25" i="3"/>
  <c r="J25" i="3" s="1"/>
  <c r="H23" i="3"/>
  <c r="I23" i="3"/>
  <c r="I14" i="3"/>
  <c r="J14" i="3" s="1"/>
  <c r="J16" i="3" l="1"/>
  <c r="H17" i="3"/>
  <c r="I17" i="3" s="1"/>
  <c r="J17" i="3" s="1"/>
  <c r="F9" i="4"/>
  <c r="C26" i="6"/>
  <c r="F8" i="4"/>
  <c r="F21" i="4"/>
  <c r="F20" i="4"/>
  <c r="C21" i="6"/>
  <c r="C22" i="6" s="1"/>
  <c r="C11" i="6"/>
  <c r="F14" i="5"/>
  <c r="C14" i="6" s="1"/>
  <c r="C10" i="6"/>
  <c r="F26" i="5"/>
  <c r="F13" i="5"/>
  <c r="C13" i="6" s="1"/>
  <c r="F25" i="5"/>
  <c r="C16" i="6" s="1"/>
  <c r="F15" i="4"/>
  <c r="F11" i="5"/>
  <c r="C12" i="6" s="1"/>
  <c r="G10" i="4"/>
  <c r="F25" i="4"/>
  <c r="F17" i="4"/>
  <c r="H18" i="3"/>
  <c r="E13" i="4"/>
  <c r="E24" i="5"/>
  <c r="E14" i="4"/>
  <c r="G20" i="5"/>
  <c r="H17" i="5"/>
  <c r="I19" i="3"/>
  <c r="J19" i="3" s="1"/>
  <c r="J15" i="3"/>
  <c r="E26" i="5"/>
  <c r="B17" i="6" s="1"/>
  <c r="J23" i="3"/>
  <c r="H33" i="5"/>
  <c r="I31" i="5"/>
  <c r="I33" i="5" s="1"/>
  <c r="E24" i="4"/>
  <c r="E26" i="4" s="1"/>
  <c r="I26" i="3"/>
  <c r="J26" i="3" s="1"/>
  <c r="I24" i="3"/>
  <c r="J24" i="3" s="1"/>
  <c r="E29" i="5" l="1"/>
  <c r="E34" i="5" s="1"/>
  <c r="B15" i="6"/>
  <c r="G25" i="5"/>
  <c r="D16" i="6" s="1"/>
  <c r="G20" i="4"/>
  <c r="G22" i="4" s="1"/>
  <c r="G11" i="5"/>
  <c r="D12" i="6" s="1"/>
  <c r="D21" i="6"/>
  <c r="D22" i="6" s="1"/>
  <c r="D11" i="6"/>
  <c r="D10" i="6"/>
  <c r="H10" i="4"/>
  <c r="G25" i="4"/>
  <c r="G17" i="4"/>
  <c r="G15" i="4" s="1"/>
  <c r="G9" i="4"/>
  <c r="G14" i="5"/>
  <c r="D14" i="6" s="1"/>
  <c r="G8" i="4"/>
  <c r="D26" i="6"/>
  <c r="G26" i="5"/>
  <c r="D17" i="6" s="1"/>
  <c r="G13" i="5"/>
  <c r="D13" i="6" s="1"/>
  <c r="G21" i="4"/>
  <c r="E27" i="4"/>
  <c r="E28" i="4"/>
  <c r="C17" i="6"/>
  <c r="F14" i="4"/>
  <c r="F13" i="4"/>
  <c r="F24" i="5"/>
  <c r="F22" i="4"/>
  <c r="I18" i="3"/>
  <c r="J18" i="3" s="1"/>
  <c r="I17" i="5"/>
  <c r="I20" i="5" s="1"/>
  <c r="H20" i="5"/>
  <c r="F24" i="4"/>
  <c r="F26" i="4" s="1"/>
  <c r="B9" i="6" l="1"/>
  <c r="B18" i="6" s="1"/>
  <c r="B25" i="6"/>
  <c r="B27" i="6" s="1"/>
  <c r="E31" i="4"/>
  <c r="E30" i="4"/>
  <c r="G24" i="5"/>
  <c r="G14" i="4"/>
  <c r="G13" i="4"/>
  <c r="F27" i="4"/>
  <c r="F28" i="4" s="1"/>
  <c r="G24" i="4"/>
  <c r="G26" i="4" s="1"/>
  <c r="E21" i="6"/>
  <c r="E22" i="6" s="1"/>
  <c r="E11" i="6"/>
  <c r="H14" i="5"/>
  <c r="E14" i="6" s="1"/>
  <c r="H15" i="4"/>
  <c r="E10" i="6"/>
  <c r="H26" i="5"/>
  <c r="E17" i="6" s="1"/>
  <c r="H13" i="5"/>
  <c r="E13" i="6" s="1"/>
  <c r="I10" i="4"/>
  <c r="H25" i="4"/>
  <c r="H17" i="4"/>
  <c r="H25" i="5"/>
  <c r="E16" i="6" s="1"/>
  <c r="H9" i="4"/>
  <c r="H11" i="5"/>
  <c r="E12" i="6" s="1"/>
  <c r="H8" i="4"/>
  <c r="H21" i="4"/>
  <c r="E26" i="6"/>
  <c r="H20" i="4"/>
  <c r="C15" i="6"/>
  <c r="F29" i="5"/>
  <c r="F34" i="5" s="1"/>
  <c r="H22" i="4" l="1"/>
  <c r="H24" i="4"/>
  <c r="H26" i="4" s="1"/>
  <c r="C25" i="6"/>
  <c r="C27" i="6" s="1"/>
  <c r="F31" i="4"/>
  <c r="F30" i="4"/>
  <c r="C9" i="6"/>
  <c r="C18" i="6" s="1"/>
  <c r="C29" i="6" s="1"/>
  <c r="H24" i="5"/>
  <c r="H14" i="4"/>
  <c r="H13" i="4"/>
  <c r="G29" i="5"/>
  <c r="G34" i="5" s="1"/>
  <c r="D15" i="6"/>
  <c r="H27" i="4"/>
  <c r="H28" i="4" s="1"/>
  <c r="I8" i="4"/>
  <c r="I21" i="4"/>
  <c r="I26" i="5"/>
  <c r="F17" i="6" s="1"/>
  <c r="I14" i="5"/>
  <c r="F14" i="6" s="1"/>
  <c r="I20" i="4"/>
  <c r="F26" i="6"/>
  <c r="I25" i="5"/>
  <c r="F16" i="6" s="1"/>
  <c r="I13" i="5"/>
  <c r="F13" i="6" s="1"/>
  <c r="I11" i="5"/>
  <c r="F12" i="6" s="1"/>
  <c r="I15" i="4"/>
  <c r="F21" i="6"/>
  <c r="F22" i="6" s="1"/>
  <c r="F11" i="6"/>
  <c r="I25" i="4"/>
  <c r="I17" i="4"/>
  <c r="F10" i="6"/>
  <c r="I9" i="4"/>
  <c r="G27" i="4"/>
  <c r="G28" i="4" s="1"/>
  <c r="B29" i="6"/>
  <c r="B31" i="6" s="1"/>
  <c r="B16" i="8" s="1"/>
  <c r="I22" i="4" l="1"/>
  <c r="D25" i="6"/>
  <c r="D27" i="6" s="1"/>
  <c r="G30" i="4"/>
  <c r="D9" i="6"/>
  <c r="D18" i="6" s="1"/>
  <c r="D29" i="6" s="1"/>
  <c r="G31" i="4"/>
  <c r="E9" i="6"/>
  <c r="H31" i="4"/>
  <c r="H30" i="4"/>
  <c r="E25" i="6"/>
  <c r="E27" i="6" s="1"/>
  <c r="C30" i="6"/>
  <c r="E9" i="5"/>
  <c r="E15" i="5" s="1"/>
  <c r="E21" i="5" s="1"/>
  <c r="B17" i="8" s="1"/>
  <c r="I14" i="4"/>
  <c r="I24" i="5"/>
  <c r="I13" i="4"/>
  <c r="E15" i="6"/>
  <c r="H29" i="5"/>
  <c r="H34" i="5" s="1"/>
  <c r="I24" i="4"/>
  <c r="I26" i="4" s="1"/>
  <c r="F15" i="6" l="1"/>
  <c r="I29" i="5"/>
  <c r="I34" i="5" s="1"/>
  <c r="E18" i="6"/>
  <c r="E29" i="6" s="1"/>
  <c r="E40" i="5"/>
  <c r="B19" i="8" s="1"/>
  <c r="B5" i="7"/>
  <c r="C6" i="7"/>
  <c r="C31" i="6"/>
  <c r="C16" i="8" s="1"/>
  <c r="I27" i="4"/>
  <c r="I28" i="4" s="1"/>
  <c r="F9" i="6" l="1"/>
  <c r="F18" i="6" s="1"/>
  <c r="I31" i="4"/>
  <c r="I30" i="4"/>
  <c r="F25" i="6"/>
  <c r="F27" i="6" s="1"/>
  <c r="F9" i="5"/>
  <c r="F15" i="5" s="1"/>
  <c r="F21" i="5" s="1"/>
  <c r="C17" i="8" s="1"/>
  <c r="D30" i="6"/>
  <c r="E38" i="5"/>
  <c r="E41" i="5"/>
  <c r="B4" i="7" s="1"/>
  <c r="C5" i="7" l="1"/>
  <c r="D6" i="7"/>
  <c r="D31" i="6"/>
  <c r="D16" i="8" s="1"/>
  <c r="F40" i="5"/>
  <c r="C19" i="8" s="1"/>
  <c r="F29" i="6"/>
  <c r="F38" i="5" l="1"/>
  <c r="F41" i="5"/>
  <c r="C4" i="7" s="1"/>
  <c r="E30" i="6"/>
  <c r="G9" i="5"/>
  <c r="G15" i="5" s="1"/>
  <c r="G21" i="5" s="1"/>
  <c r="D17" i="8" s="1"/>
  <c r="D5" i="7"/>
  <c r="G40" i="5" l="1"/>
  <c r="D19" i="8" s="1"/>
  <c r="E31" i="6"/>
  <c r="E16" i="8" s="1"/>
  <c r="E6" i="7"/>
  <c r="F30" i="6" l="1"/>
  <c r="H9" i="5"/>
  <c r="H15" i="5" s="1"/>
  <c r="H21" i="5" s="1"/>
  <c r="E17" i="8" s="1"/>
  <c r="G38" i="5"/>
  <c r="G41" i="5"/>
  <c r="D4" i="7" s="1"/>
  <c r="H40" i="5" l="1"/>
  <c r="E19" i="8" s="1"/>
  <c r="F6" i="7"/>
  <c r="F31" i="6"/>
  <c r="F16" i="8" s="1"/>
  <c r="E5" i="7"/>
  <c r="I9" i="5" l="1"/>
  <c r="I15" i="5" s="1"/>
  <c r="I21" i="5" s="1"/>
  <c r="F17" i="8" s="1"/>
  <c r="H38" i="5"/>
  <c r="H41" i="5"/>
  <c r="E4" i="7" s="1"/>
  <c r="I40" i="5" l="1"/>
  <c r="F19" i="8" s="1"/>
  <c r="F5" i="7"/>
  <c r="I38" i="5" l="1"/>
  <c r="I41" i="5"/>
  <c r="F4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tc={FD2BEEB8-E751-7F4B-AEE5-4F8EDAA03ECF}</author>
    <author>tc={ADC93D09-5495-DE46-8A08-6728C99A6BB2}</author>
  </authors>
  <commentList>
    <comment ref="E25" authorId="0" shapeId="0" xr:uid="{FD2BEEB8-E751-7F4B-AEE5-4F8EDAA03ECF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Apple Form 10-K consolidated balance sheets. FY2024 10-K for 2024A/2023A; FY2023 10-K for 2022A.</t>
      </text>
    </comment>
    <comment ref="E53" authorId="1" shapeId="0" xr:uid="{ADC93D09-5495-DE46-8A08-6728C99A6BB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Apple Form 10-K consolidated balance sheets. FY2024 10-K for 2024A/2023A; FY2023 10-K for 2022A.</t>
      </text>
    </comment>
  </commentList>
</comments>
</file>

<file path=xl/sharedStrings.xml><?xml version="1.0" encoding="utf-8"?>
<sst xmlns="http://schemas.openxmlformats.org/spreadsheetml/2006/main" count="354" uniqueCount="183">
  <si>
    <t>Project</t>
  </si>
  <si>
    <t>Company</t>
  </si>
  <si>
    <t>Ticker</t>
  </si>
  <si>
    <t>Historical Years</t>
  </si>
  <si>
    <t>Forecast Years</t>
  </si>
  <si>
    <t xml:space="preserve">currency </t>
  </si>
  <si>
    <t>source</t>
  </si>
  <si>
    <t>created by</t>
  </si>
  <si>
    <t>purpose</t>
  </si>
  <si>
    <t>Apple 3-Statement Financial Model</t>
  </si>
  <si>
    <t>Apple Inc.</t>
  </si>
  <si>
    <t>AAPL</t>
  </si>
  <si>
    <t>2022A–2024A</t>
  </si>
  <si>
    <t>2025E–2029E</t>
  </si>
  <si>
    <t>USD millions</t>
  </si>
  <si>
    <t>Apple 2024 Form 10-K</t>
  </si>
  <si>
    <t>Divya Lachman</t>
  </si>
  <si>
    <t>Practice financial modeling, forecasting, and 3-statement analysis</t>
  </si>
  <si>
    <t>Income Statement:</t>
  </si>
  <si>
    <t>Products net sales</t>
  </si>
  <si>
    <t>Services net sales</t>
  </si>
  <si>
    <t>Total net sales</t>
  </si>
  <si>
    <t>Products cost of sales</t>
  </si>
  <si>
    <t>Services cost of sales</t>
  </si>
  <si>
    <t>Total cost of sales</t>
  </si>
  <si>
    <t>Gross margin</t>
  </si>
  <si>
    <t>Research and development</t>
  </si>
  <si>
    <t>Selling, general and administrative</t>
  </si>
  <si>
    <t>Total operating expenses</t>
  </si>
  <si>
    <t>Operating income</t>
  </si>
  <si>
    <t>Other income/(expense), net</t>
  </si>
  <si>
    <t>Income before provision for income taxes</t>
  </si>
  <si>
    <t>Provision for income taxes</t>
  </si>
  <si>
    <t>Net income</t>
  </si>
  <si>
    <t>Basic EPS</t>
  </si>
  <si>
    <t>Diluted EPS</t>
  </si>
  <si>
    <t>Basic shares</t>
  </si>
  <si>
    <t>Diluted shares</t>
  </si>
  <si>
    <t>2022A</t>
  </si>
  <si>
    <t>2023A</t>
  </si>
  <si>
    <t>2024A</t>
  </si>
  <si>
    <t>Source</t>
  </si>
  <si>
    <t>$</t>
  </si>
  <si>
    <t>Apple FY2024 Form 10-K, Income Statement</t>
  </si>
  <si>
    <t>Revenue growth %</t>
  </si>
  <si>
    <t>Gross margin %</t>
  </si>
  <si>
    <t>R&amp;D as % of sales</t>
  </si>
  <si>
    <t>SG&amp;A as % of sales</t>
  </si>
  <si>
    <t>Operating margin %</t>
  </si>
  <si>
    <t>Net income margin %</t>
  </si>
  <si>
    <t>Tax rate %</t>
  </si>
  <si>
    <t>Balance Sheet:</t>
  </si>
  <si>
    <t>Cash and cash equivalents</t>
  </si>
  <si>
    <t>Marketable securities - current</t>
  </si>
  <si>
    <t>Accounts receivable, net</t>
  </si>
  <si>
    <t>Vendor non-trade receivables</t>
  </si>
  <si>
    <t>Inventories</t>
  </si>
  <si>
    <t>Other current assets</t>
  </si>
  <si>
    <t>Total current assets</t>
  </si>
  <si>
    <t>Marketable securities - non-current</t>
  </si>
  <si>
    <t>Property, plant and equipment, net</t>
  </si>
  <si>
    <t>Other non-current assets</t>
  </si>
  <si>
    <t>Total non-current assets</t>
  </si>
  <si>
    <t>Total assets</t>
  </si>
  <si>
    <t>Accounts payable</t>
  </si>
  <si>
    <t>Other current liabilities</t>
  </si>
  <si>
    <t>Deferred revenue</t>
  </si>
  <si>
    <t>Commercial paper</t>
  </si>
  <si>
    <t>Term debt - current</t>
  </si>
  <si>
    <t>Total current liabilities</t>
  </si>
  <si>
    <t>Term debt - non-current</t>
  </si>
  <si>
    <t>Other non-current liabilities</t>
  </si>
  <si>
    <t>Total non-current liabilities</t>
  </si>
  <si>
    <t>Total liabilities</t>
  </si>
  <si>
    <t>Common stock and additional paid-in capital</t>
  </si>
  <si>
    <t>Accumulated deficit</t>
  </si>
  <si>
    <t>Accumulated other comprehensive loss</t>
  </si>
  <si>
    <t>Total shareholders’ equity</t>
  </si>
  <si>
    <t>Total liabilities and shareholders’ equity</t>
  </si>
  <si>
    <t>Apple FY2024 Form 10-K, Balance Sheet</t>
  </si>
  <si>
    <t>Cash Flow</t>
  </si>
  <si>
    <t>Cash at beginning of year</t>
  </si>
  <si>
    <t>Depreciation and amortization</t>
  </si>
  <si>
    <t>Share-based compensation expense</t>
  </si>
  <si>
    <t>Other adjustments</t>
  </si>
  <si>
    <t>Accounts receivable change</t>
  </si>
  <si>
    <t>Vendor non-trade receivables change</t>
  </si>
  <si>
    <t>Inventories change</t>
  </si>
  <si>
    <t>Other current and non-current assets change</t>
  </si>
  <si>
    <t>Accounts payable change</t>
  </si>
  <si>
    <t>Other current and non-current liabilities change</t>
  </si>
  <si>
    <t>Cash generated by operating activities</t>
  </si>
  <si>
    <t>Purchases of marketable securities</t>
  </si>
  <si>
    <t>Proceeds from maturities of marketable securities</t>
  </si>
  <si>
    <t>Proceeds from sales of marketable securities</t>
  </si>
  <si>
    <t>Payments for acquisition of property, plant and equipment</t>
  </si>
  <si>
    <t>Other investing activities</t>
  </si>
  <si>
    <t>Cash generated by/(used in) investing activities</t>
  </si>
  <si>
    <t>Payments for taxes related to net share settlement of equity awards</t>
  </si>
  <si>
    <t>Payments for dividends and dividend equivalents</t>
  </si>
  <si>
    <t>Repurchases of common stock</t>
  </si>
  <si>
    <t>Proceeds from issuance of term debt, net</t>
  </si>
  <si>
    <t>Repayments of term debt</t>
  </si>
  <si>
    <t>Proceeds from/(Repayments of) commercial paper, net</t>
  </si>
  <si>
    <t>Other financing activities</t>
  </si>
  <si>
    <t>Cash used in financing activities</t>
  </si>
  <si>
    <t>Increase/(Decrease) in cash</t>
  </si>
  <si>
    <t>Cash at end of year</t>
  </si>
  <si>
    <t>Cash paid for income taxes</t>
  </si>
  <si>
    <t>Apple FY2024 Form 10-K, Cash Flow Statement</t>
  </si>
  <si>
    <t>AVERAGE</t>
  </si>
  <si>
    <t>2025E</t>
  </si>
  <si>
    <t>2026E</t>
  </si>
  <si>
    <t>2027E</t>
  </si>
  <si>
    <t>2028E</t>
  </si>
  <si>
    <t>2029E</t>
  </si>
  <si>
    <t>Assumptions</t>
  </si>
  <si>
    <t>Income Statement Assumptions</t>
  </si>
  <si>
    <t>Other income / expense as % of sales</t>
  </si>
  <si>
    <t>Balance Sheet Assumptions</t>
  </si>
  <si>
    <t>Accounts receivable as % of sales</t>
  </si>
  <si>
    <t>Inventories as % of sales</t>
  </si>
  <si>
    <t>Other current assets as % of sales</t>
  </si>
  <si>
    <t>Accounts payable as % of cost of sales</t>
  </si>
  <si>
    <t>Other current liabilities as % of sales</t>
  </si>
  <si>
    <t>Deferred revenue as % of sales</t>
  </si>
  <si>
    <t>Cash Flow Assumptions</t>
  </si>
  <si>
    <t>Depreciation &amp; amortization as % of sales</t>
  </si>
  <si>
    <t>Share-based compensation as % of sales</t>
  </si>
  <si>
    <t>CapEx as % of sales</t>
  </si>
  <si>
    <t>Dividends as % of net income</t>
  </si>
  <si>
    <t>Share repurchases as % of sales</t>
  </si>
  <si>
    <t>Debt / Interest Assumptions</t>
  </si>
  <si>
    <t>Current debt</t>
  </si>
  <si>
    <t>Non-current debt</t>
  </si>
  <si>
    <t>Total debt</t>
  </si>
  <si>
    <t>Net income margin</t>
  </si>
  <si>
    <t>Consolidated Statement of Operations</t>
  </si>
  <si>
    <t>Fiscal Years 2022A–2029E</t>
  </si>
  <si>
    <t>USD in millions, except per share amounts</t>
  </si>
  <si>
    <t>Net sales:</t>
  </si>
  <si>
    <t>Cost of sales:</t>
  </si>
  <si>
    <t>Operating expenses:</t>
  </si>
  <si>
    <t>Consolidated Balance Sheets</t>
  </si>
  <si>
    <t>Fiscal Years 2023A–2029E</t>
  </si>
  <si>
    <t>USD in millions</t>
  </si>
  <si>
    <t>Balance Sheet</t>
  </si>
  <si>
    <t>Assets:</t>
  </si>
  <si>
    <t>Liabilities:</t>
  </si>
  <si>
    <t>Shareholders' equity:</t>
  </si>
  <si>
    <t>Total shareholders' equity</t>
  </si>
  <si>
    <t>Total liabilities and shareholders' equity</t>
  </si>
  <si>
    <t>Consolidated Statements of Cash Flows</t>
  </si>
  <si>
    <t>Operating activities:</t>
  </si>
  <si>
    <t>Share-based compensation</t>
  </si>
  <si>
    <t>Change in accounts receivable</t>
  </si>
  <si>
    <t>Change in inventories</t>
  </si>
  <si>
    <t>Change in other current assets</t>
  </si>
  <si>
    <t>Change in accounts payable</t>
  </si>
  <si>
    <t>Change in other current liabilities</t>
  </si>
  <si>
    <t>Change in deferred revenue</t>
  </si>
  <si>
    <t>Net cash provided by operating activities</t>
  </si>
  <si>
    <t>Investing activities:</t>
  </si>
  <si>
    <t>Capital expenditures</t>
  </si>
  <si>
    <t>Net cash used in investing activities</t>
  </si>
  <si>
    <t>Financing activities:</t>
  </si>
  <si>
    <t>Dividends paid</t>
  </si>
  <si>
    <t>Share repurchases</t>
  </si>
  <si>
    <t>Net cash used in financing activities</t>
  </si>
  <si>
    <t>Net increase / decrease in cash</t>
  </si>
  <si>
    <t>CASH FLOW</t>
  </si>
  <si>
    <t>Model Checks</t>
  </si>
  <si>
    <t>Check</t>
  </si>
  <si>
    <t>Total assets less liabilities &amp; equity</t>
  </si>
  <si>
    <t>Cash Flow ending cash less Balance Sheet cash</t>
  </si>
  <si>
    <t>Beginning cash equals prior ending cash</t>
  </si>
  <si>
    <t>3-Statement Financial Model Summary</t>
  </si>
  <si>
    <t>Fiscal Years 2025E–2029E</t>
  </si>
  <si>
    <t>USD in millions, except EPS</t>
  </si>
  <si>
    <t>Metric</t>
  </si>
  <si>
    <t>Revenue</t>
  </si>
  <si>
    <t>Ending cash</t>
  </si>
  <si>
    <t>Shareholders'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</si>
</sst>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#,##0;\(#,##0\)"/>
    <numFmt numFmtId="168" formatCode="#,##0;\(#,##0\);\-"/>
    <numFmt numFmtId="169" formatCode="0.0%"/>
  </numFmts>
  <fonts count="2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scheme val="minor"/>
    </font>
    <font>
      <sz val="8"/>
      <name val="Aptos Narrow"/>
      <family val="2"/>
      <scheme val="minor"/>
    </font>
    <font>
      <sz val="12"/>
      <name val="Aptos Narrow"/>
      <scheme val="minor"/>
    </font>
    <font>
      <sz val="12"/>
      <color rgb="FF008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  <font>
      <sz val="12"/>
      <color theme="9"/>
      <name val="Aptos Narrow"/>
      <scheme val="minor"/>
    </font>
    <font>
      <b/>
      <sz val="12"/>
      <color rgb="FFFF0000"/>
      <name val="Aptos Narrow"/>
      <scheme val="minor"/>
    </font>
    <font>
      <b/>
      <sz val="14"/>
      <color theme="1"/>
      <name val="Aptos Narrow"/>
      <scheme val="minor"/>
    </font>
    <font>
      <sz val="12"/>
      <color rgb="FF0070C0"/>
      <name val="Aptos Narrow"/>
      <scheme val="minor"/>
    </font>
    <font>
      <sz val="12"/>
      <color theme="3" tint="0.249977111117893"/>
      <name val="Aptos Narrow"/>
      <scheme val="minor"/>
    </font>
    <font>
      <b/>
      <sz val="12"/>
      <color theme="3" tint="0.249977111117893"/>
      <name val="Aptos Narrow"/>
      <scheme val="minor"/>
    </font>
    <font>
      <sz val="14"/>
      <color theme="1"/>
      <name val="Aptos Narrow"/>
      <scheme val="minor"/>
    </font>
    <font>
      <sz val="14"/>
      <color theme="3" tint="0.249977111117893"/>
      <name val="Aptos Narrow"/>
      <scheme val="minor"/>
    </font>
    <font>
      <sz val="12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3" fontId="0" fillId="0" borderId="0" xfId="0" applyNumberFormat="1"/>
    <xf numFmtId="37" fontId="6" fillId="0" borderId="0" xfId="0" applyNumberFormat="1" applyFont="1" applyAlignment="1">
      <alignment vertical="top"/>
    </xf>
    <xf numFmtId="167" fontId="0" fillId="0" borderId="0" xfId="0" applyNumberFormat="1"/>
    <xf numFmtId="0" fontId="7" fillId="0" borderId="0" xfId="0" applyFont="1"/>
    <xf numFmtId="167" fontId="8" fillId="0" borderId="0" xfId="0" applyNumberFormat="1" applyFont="1"/>
    <xf numFmtId="2" fontId="8" fillId="0" borderId="0" xfId="0" applyNumberFormat="1" applyFont="1"/>
    <xf numFmtId="3" fontId="8" fillId="0" borderId="0" xfId="0" applyNumberFormat="1" applyFont="1"/>
    <xf numFmtId="167" fontId="9" fillId="0" borderId="0" xfId="0" applyNumberFormat="1" applyFont="1"/>
    <xf numFmtId="0" fontId="1" fillId="0" borderId="0" xfId="0" applyFont="1"/>
    <xf numFmtId="3" fontId="2" fillId="0" borderId="0" xfId="0" applyNumberFormat="1" applyFont="1"/>
    <xf numFmtId="0" fontId="10" fillId="0" borderId="0" xfId="0" applyFont="1"/>
    <xf numFmtId="167" fontId="1" fillId="0" borderId="0" xfId="0" applyNumberFormat="1" applyFont="1"/>
    <xf numFmtId="0" fontId="12" fillId="0" borderId="0" xfId="0" applyNumberFormat="1" applyFont="1"/>
    <xf numFmtId="168" fontId="0" fillId="0" borderId="0" xfId="0" applyNumberFormat="1" applyAlignment="1">
      <alignment horizontal="right"/>
    </xf>
    <xf numFmtId="0" fontId="7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9" fontId="0" fillId="0" borderId="0" xfId="0" applyNumberFormat="1"/>
    <xf numFmtId="169" fontId="10" fillId="0" borderId="0" xfId="0" applyNumberFormat="1" applyFont="1"/>
    <xf numFmtId="0" fontId="13" fillId="0" borderId="0" xfId="0" applyFont="1"/>
    <xf numFmtId="169" fontId="13" fillId="0" borderId="0" xfId="0" applyNumberFormat="1" applyFont="1"/>
    <xf numFmtId="0" fontId="14" fillId="0" borderId="0" xfId="0" applyFont="1" applyAlignment="1">
      <alignment horizontal="center"/>
    </xf>
    <xf numFmtId="4" fontId="0" fillId="0" borderId="0" xfId="0" applyNumberFormat="1"/>
    <xf numFmtId="0" fontId="15" fillId="0" borderId="0" xfId="0" applyFont="1"/>
    <xf numFmtId="1" fontId="15" fillId="0" borderId="0" xfId="0" applyNumberFormat="1" applyFont="1"/>
    <xf numFmtId="4" fontId="15" fillId="0" borderId="0" xfId="0" applyNumberFormat="1" applyFont="1"/>
    <xf numFmtId="3" fontId="15" fillId="0" borderId="0" xfId="0" applyNumberFormat="1" applyFont="1"/>
    <xf numFmtId="0" fontId="16" fillId="0" borderId="0" xfId="0" applyFont="1"/>
    <xf numFmtId="0" fontId="14" fillId="0" borderId="0" xfId="0" applyFont="1"/>
    <xf numFmtId="0" fontId="18" fillId="0" borderId="0" xfId="0" applyFont="1"/>
    <xf numFmtId="0" fontId="19" fillId="0" borderId="0" xfId="0" applyFont="1"/>
    <xf numFmtId="0" fontId="17" fillId="0" borderId="0" xfId="0" applyFont="1" applyAlignment="1">
      <alignment horizontal="center"/>
    </xf>
    <xf numFmtId="169" fontId="20" fillId="0" borderId="0" xfId="0" applyNumberFormat="1" applyFont="1"/>
    <xf numFmtId="1" fontId="20" fillId="0" borderId="0" xfId="0" applyNumberFormat="1" applyFont="1"/>
    <xf numFmtId="0" fontId="20" fillId="0" borderId="0" xfId="0" applyFont="1"/>
    <xf numFmtId="169" fontId="0" fillId="0" borderId="0" xfId="0" applyNumberFormat="1" applyFont="1"/>
    <xf numFmtId="4" fontId="2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VYA.LACHMAN" id="{7DA5F61A-FE63-5145-9393-EAA62808E8DD}" userId="S::DIVYA.LACHMAN@BARUCHMAIL.CUNY.EDU::8b062d16-01c9-4b4c-ab53-fbbf347c0d3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5" dT="2026-06-09T19:56:19.33" personId="{7DA5F61A-FE63-5145-9393-EAA62808E8DD}" id="{FD2BEEB8-E751-7F4B-AEE5-4F8EDAA03ECF}">
    <text>Source: Apple Form 10-K consolidated balance sheets. FY2024 10-K for 2024A/2023A; FY2023 10-K for 2022A.</text>
  </threadedComment>
  <threadedComment ref="E53" dT="2026-06-09T19:56:19.36" personId="{7DA5F61A-FE63-5145-9393-EAA62808E8DD}" id="{ADC93D09-5495-DE46-8A08-6728C99A6BB2}">
    <text>Source: Apple Form 10-K consolidated balance sheets. FY2024 10-K for 2024A/2023A; FY2023 10-K for 2022A.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630628-6D6C-A24E-AA20-75CAB4505F30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01603-528D-674B-95FB-9706C32FFC45}">
  <dimension ref="A1:B9"/>
  <sheetViews>
    <sheetView tabSelected="1" zoomScale="62" workbookViewId="0">
      <selection activeCell="B27" sqref="B27"/>
    </sheetView>
  </sheetViews>
  <sheetFormatPr baseColWidth="10" defaultRowHeight="16" x14ac:dyDescent="0.2"/>
  <cols>
    <col min="1" max="1" width="30" style="1" customWidth="1"/>
    <col min="2" max="2" width="94.6640625" customWidth="1"/>
  </cols>
  <sheetData>
    <row r="1" spans="1:2" ht="27" x14ac:dyDescent="0.35">
      <c r="A1" s="2" t="s">
        <v>0</v>
      </c>
      <c r="B1" s="3" t="s">
        <v>9</v>
      </c>
    </row>
    <row r="2" spans="1:2" ht="27" x14ac:dyDescent="0.35">
      <c r="A2" s="2" t="s">
        <v>1</v>
      </c>
      <c r="B2" s="3" t="s">
        <v>10</v>
      </c>
    </row>
    <row r="3" spans="1:2" ht="27" x14ac:dyDescent="0.35">
      <c r="A3" s="2" t="s">
        <v>2</v>
      </c>
      <c r="B3" s="3" t="s">
        <v>11</v>
      </c>
    </row>
    <row r="4" spans="1:2" ht="27" x14ac:dyDescent="0.35">
      <c r="A4" s="2" t="s">
        <v>3</v>
      </c>
      <c r="B4" s="3" t="s">
        <v>12</v>
      </c>
    </row>
    <row r="5" spans="1:2" ht="27" x14ac:dyDescent="0.35">
      <c r="A5" s="2" t="s">
        <v>4</v>
      </c>
      <c r="B5" s="3" t="s">
        <v>13</v>
      </c>
    </row>
    <row r="6" spans="1:2" ht="27" x14ac:dyDescent="0.35">
      <c r="A6" s="2" t="s">
        <v>5</v>
      </c>
      <c r="B6" s="3" t="s">
        <v>14</v>
      </c>
    </row>
    <row r="7" spans="1:2" ht="27" x14ac:dyDescent="0.35">
      <c r="A7" s="2" t="s">
        <v>6</v>
      </c>
      <c r="B7" s="3" t="s">
        <v>15</v>
      </c>
    </row>
    <row r="8" spans="1:2" ht="27" x14ac:dyDescent="0.35">
      <c r="A8" s="2" t="s">
        <v>7</v>
      </c>
      <c r="B8" s="3" t="s">
        <v>16</v>
      </c>
    </row>
    <row r="9" spans="1:2" ht="27" x14ac:dyDescent="0.35">
      <c r="A9" s="2" t="s">
        <v>8</v>
      </c>
      <c r="B9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FE72-573D-D34F-92B5-EFCCD5864E41}">
  <dimension ref="A1:E84"/>
  <sheetViews>
    <sheetView topLeftCell="A32" zoomScale="25" zoomScaleNormal="25" workbookViewId="0">
      <selection activeCell="D44" sqref="D44"/>
    </sheetView>
  </sheetViews>
  <sheetFormatPr baseColWidth="10" defaultRowHeight="16" x14ac:dyDescent="0.2"/>
  <cols>
    <col min="1" max="1" width="56.1640625" bestFit="1" customWidth="1"/>
    <col min="2" max="4" width="11.33203125" bestFit="1" customWidth="1"/>
    <col min="5" max="5" width="40.5" bestFit="1" customWidth="1"/>
  </cols>
  <sheetData>
    <row r="1" spans="1:5" s="1" customFormat="1" x14ac:dyDescent="0.2">
      <c r="B1" s="4" t="s">
        <v>38</v>
      </c>
      <c r="C1" s="4" t="s">
        <v>39</v>
      </c>
      <c r="D1" s="4" t="s">
        <v>40</v>
      </c>
      <c r="E1" s="1" t="s">
        <v>41</v>
      </c>
    </row>
    <row r="2" spans="1:5" s="1" customFormat="1" x14ac:dyDescent="0.2">
      <c r="B2" s="4" t="s">
        <v>42</v>
      </c>
      <c r="C2" s="4" t="s">
        <v>42</v>
      </c>
      <c r="D2" s="4" t="s">
        <v>42</v>
      </c>
    </row>
    <row r="3" spans="1:5" x14ac:dyDescent="0.2">
      <c r="A3" s="1" t="s">
        <v>18</v>
      </c>
    </row>
    <row r="4" spans="1:5" x14ac:dyDescent="0.2">
      <c r="A4" t="s">
        <v>19</v>
      </c>
      <c r="B4" s="5">
        <v>316199</v>
      </c>
      <c r="C4" s="5">
        <v>298085</v>
      </c>
      <c r="D4" s="5">
        <v>294866</v>
      </c>
      <c r="E4" s="8" t="s">
        <v>43</v>
      </c>
    </row>
    <row r="5" spans="1:5" x14ac:dyDescent="0.2">
      <c r="A5" t="s">
        <v>20</v>
      </c>
      <c r="B5" s="5">
        <v>78129</v>
      </c>
      <c r="C5" s="5">
        <v>85200</v>
      </c>
      <c r="D5" s="6">
        <v>96169</v>
      </c>
      <c r="E5" s="8" t="s">
        <v>43</v>
      </c>
    </row>
    <row r="6" spans="1:5" x14ac:dyDescent="0.2">
      <c r="A6" s="1" t="s">
        <v>21</v>
      </c>
      <c r="B6" s="14">
        <v>394328</v>
      </c>
      <c r="C6" s="14">
        <v>383285</v>
      </c>
      <c r="D6" s="14">
        <v>391035</v>
      </c>
      <c r="E6" s="8" t="s">
        <v>43</v>
      </c>
    </row>
    <row r="7" spans="1:5" x14ac:dyDescent="0.2">
      <c r="A7" t="s">
        <v>22</v>
      </c>
      <c r="B7" s="9">
        <v>201471</v>
      </c>
      <c r="C7" s="9">
        <v>189282</v>
      </c>
      <c r="D7" s="9">
        <v>185233</v>
      </c>
      <c r="E7" s="8" t="s">
        <v>43</v>
      </c>
    </row>
    <row r="8" spans="1:5" x14ac:dyDescent="0.2">
      <c r="A8" t="s">
        <v>23</v>
      </c>
      <c r="B8" s="9">
        <v>22075</v>
      </c>
      <c r="C8" s="9">
        <v>24855</v>
      </c>
      <c r="D8" s="9">
        <v>25119</v>
      </c>
      <c r="E8" s="8" t="s">
        <v>43</v>
      </c>
    </row>
    <row r="9" spans="1:5" x14ac:dyDescent="0.2">
      <c r="A9" s="1" t="s">
        <v>24</v>
      </c>
      <c r="B9" s="12">
        <v>223546</v>
      </c>
      <c r="C9" s="12">
        <v>214137</v>
      </c>
      <c r="D9" s="12">
        <v>210352</v>
      </c>
      <c r="E9" s="8" t="s">
        <v>43</v>
      </c>
    </row>
    <row r="10" spans="1:5" x14ac:dyDescent="0.2">
      <c r="A10" s="1" t="s">
        <v>25</v>
      </c>
      <c r="B10" s="12">
        <v>170782</v>
      </c>
      <c r="C10" s="12">
        <v>169148</v>
      </c>
      <c r="D10" s="12">
        <v>180683</v>
      </c>
      <c r="E10" s="8" t="s">
        <v>43</v>
      </c>
    </row>
    <row r="11" spans="1:5" x14ac:dyDescent="0.2">
      <c r="A11" t="s">
        <v>26</v>
      </c>
      <c r="B11" s="9">
        <v>26251</v>
      </c>
      <c r="C11" s="9">
        <v>29915</v>
      </c>
      <c r="D11" s="9">
        <v>31370</v>
      </c>
      <c r="E11" s="8" t="s">
        <v>43</v>
      </c>
    </row>
    <row r="12" spans="1:5" x14ac:dyDescent="0.2">
      <c r="A12" t="s">
        <v>27</v>
      </c>
      <c r="B12" s="9">
        <v>25094</v>
      </c>
      <c r="C12" s="9">
        <v>24932</v>
      </c>
      <c r="D12" s="9">
        <v>26097</v>
      </c>
      <c r="E12" s="8" t="s">
        <v>43</v>
      </c>
    </row>
    <row r="13" spans="1:5" x14ac:dyDescent="0.2">
      <c r="A13" s="1" t="s">
        <v>28</v>
      </c>
      <c r="B13" s="12">
        <v>51345</v>
      </c>
      <c r="C13" s="12">
        <v>54847</v>
      </c>
      <c r="D13" s="12">
        <v>57467</v>
      </c>
      <c r="E13" s="8" t="s">
        <v>43</v>
      </c>
    </row>
    <row r="14" spans="1:5" x14ac:dyDescent="0.2">
      <c r="A14" s="13" t="s">
        <v>29</v>
      </c>
      <c r="B14" s="12">
        <v>119437</v>
      </c>
      <c r="C14" s="12">
        <v>114301</v>
      </c>
      <c r="D14" s="12">
        <v>123216</v>
      </c>
      <c r="E14" s="8" t="s">
        <v>43</v>
      </c>
    </row>
    <row r="15" spans="1:5" x14ac:dyDescent="0.2">
      <c r="A15" t="s">
        <v>30</v>
      </c>
      <c r="B15" s="9">
        <v>-334</v>
      </c>
      <c r="C15" s="9">
        <v>-565</v>
      </c>
      <c r="D15" s="9">
        <v>269</v>
      </c>
      <c r="E15" s="8" t="s">
        <v>43</v>
      </c>
    </row>
    <row r="16" spans="1:5" x14ac:dyDescent="0.2">
      <c r="A16" s="1" t="s">
        <v>31</v>
      </c>
      <c r="B16" s="12">
        <v>119103</v>
      </c>
      <c r="C16" s="12">
        <v>113736</v>
      </c>
      <c r="D16" s="12">
        <v>123485</v>
      </c>
      <c r="E16" s="8" t="s">
        <v>43</v>
      </c>
    </row>
    <row r="17" spans="1:5" x14ac:dyDescent="0.2">
      <c r="A17" s="13" t="s">
        <v>32</v>
      </c>
      <c r="B17" s="12">
        <v>19300</v>
      </c>
      <c r="C17" s="12">
        <v>16741</v>
      </c>
      <c r="D17" s="12">
        <v>29749</v>
      </c>
      <c r="E17" s="8" t="s">
        <v>43</v>
      </c>
    </row>
    <row r="18" spans="1:5" x14ac:dyDescent="0.2">
      <c r="A18" s="1" t="s">
        <v>33</v>
      </c>
      <c r="B18" s="12">
        <v>99803</v>
      </c>
      <c r="C18" s="12">
        <v>96995</v>
      </c>
      <c r="D18" s="12">
        <v>93736</v>
      </c>
      <c r="E18" s="8" t="s">
        <v>43</v>
      </c>
    </row>
    <row r="19" spans="1:5" x14ac:dyDescent="0.2">
      <c r="A19" t="s">
        <v>34</v>
      </c>
      <c r="B19" s="10">
        <v>6.15</v>
      </c>
      <c r="C19" s="10">
        <v>6.16</v>
      </c>
      <c r="D19" s="10">
        <v>6.11</v>
      </c>
      <c r="E19" s="8" t="s">
        <v>43</v>
      </c>
    </row>
    <row r="20" spans="1:5" x14ac:dyDescent="0.2">
      <c r="A20" t="s">
        <v>35</v>
      </c>
      <c r="B20" s="10">
        <v>6.11</v>
      </c>
      <c r="C20" s="10">
        <v>6.13</v>
      </c>
      <c r="D20" s="10">
        <v>6.08</v>
      </c>
      <c r="E20" s="8" t="s">
        <v>43</v>
      </c>
    </row>
    <row r="21" spans="1:5" x14ac:dyDescent="0.2">
      <c r="A21" t="s">
        <v>36</v>
      </c>
      <c r="B21" s="11">
        <v>16215963</v>
      </c>
      <c r="C21" s="11">
        <v>15744231</v>
      </c>
      <c r="D21" s="11">
        <v>15343783</v>
      </c>
      <c r="E21" s="8" t="s">
        <v>43</v>
      </c>
    </row>
    <row r="22" spans="1:5" x14ac:dyDescent="0.2">
      <c r="A22" t="s">
        <v>37</v>
      </c>
      <c r="B22" s="11">
        <v>16325819</v>
      </c>
      <c r="C22" s="11">
        <v>15812547</v>
      </c>
      <c r="D22" s="11">
        <v>15408095</v>
      </c>
      <c r="E22" s="8" t="s">
        <v>43</v>
      </c>
    </row>
    <row r="24" spans="1:5" x14ac:dyDescent="0.2">
      <c r="A24" s="1" t="s">
        <v>51</v>
      </c>
      <c r="B24" s="13"/>
      <c r="C24" s="13"/>
      <c r="D24" s="13"/>
      <c r="E24" s="13"/>
    </row>
    <row r="25" spans="1:5" x14ac:dyDescent="0.2">
      <c r="A25" s="15" t="s">
        <v>52</v>
      </c>
      <c r="B25" s="7"/>
      <c r="C25" s="7">
        <v>29965</v>
      </c>
      <c r="D25" s="7">
        <v>29943</v>
      </c>
      <c r="E25" s="17" t="s">
        <v>79</v>
      </c>
    </row>
    <row r="26" spans="1:5" x14ac:dyDescent="0.2">
      <c r="A26" s="15" t="s">
        <v>53</v>
      </c>
      <c r="B26" s="7"/>
      <c r="C26" s="7">
        <v>31590</v>
      </c>
      <c r="D26" s="7">
        <v>35228</v>
      </c>
      <c r="E26" s="17" t="s">
        <v>79</v>
      </c>
    </row>
    <row r="27" spans="1:5" x14ac:dyDescent="0.2">
      <c r="A27" s="15" t="s">
        <v>54</v>
      </c>
      <c r="B27" s="7"/>
      <c r="C27" s="7">
        <v>29508</v>
      </c>
      <c r="D27" s="7">
        <v>33410</v>
      </c>
      <c r="E27" s="17" t="s">
        <v>79</v>
      </c>
    </row>
    <row r="28" spans="1:5" x14ac:dyDescent="0.2">
      <c r="A28" s="15" t="s">
        <v>55</v>
      </c>
      <c r="B28" s="7"/>
      <c r="C28" s="7">
        <v>31477</v>
      </c>
      <c r="D28" s="7">
        <v>32833</v>
      </c>
      <c r="E28" s="17" t="s">
        <v>79</v>
      </c>
    </row>
    <row r="29" spans="1:5" x14ac:dyDescent="0.2">
      <c r="A29" s="15" t="s">
        <v>56</v>
      </c>
      <c r="B29" s="7"/>
      <c r="C29" s="7">
        <v>6331</v>
      </c>
      <c r="D29" s="7">
        <v>7286</v>
      </c>
      <c r="E29" s="17" t="s">
        <v>79</v>
      </c>
    </row>
    <row r="30" spans="1:5" x14ac:dyDescent="0.2">
      <c r="A30" s="15" t="s">
        <v>57</v>
      </c>
      <c r="B30" s="7"/>
      <c r="C30" s="7">
        <v>14695</v>
      </c>
      <c r="D30" s="7">
        <v>14287</v>
      </c>
      <c r="E30" s="17" t="s">
        <v>79</v>
      </c>
    </row>
    <row r="31" spans="1:5" x14ac:dyDescent="0.2">
      <c r="A31" s="1" t="s">
        <v>58</v>
      </c>
      <c r="B31" s="16"/>
      <c r="C31" s="16">
        <v>143566</v>
      </c>
      <c r="D31" s="16">
        <v>152987</v>
      </c>
      <c r="E31" s="17" t="s">
        <v>79</v>
      </c>
    </row>
    <row r="32" spans="1:5" x14ac:dyDescent="0.2">
      <c r="A32" t="s">
        <v>59</v>
      </c>
      <c r="B32" s="7"/>
      <c r="C32" s="7">
        <v>100544</v>
      </c>
      <c r="D32" s="7">
        <v>91479</v>
      </c>
      <c r="E32" s="17" t="s">
        <v>79</v>
      </c>
    </row>
    <row r="33" spans="1:5" x14ac:dyDescent="0.2">
      <c r="A33" t="s">
        <v>60</v>
      </c>
      <c r="B33" s="7"/>
      <c r="C33" s="7">
        <v>43715</v>
      </c>
      <c r="D33" s="7">
        <v>45680</v>
      </c>
      <c r="E33" s="17" t="s">
        <v>79</v>
      </c>
    </row>
    <row r="34" spans="1:5" x14ac:dyDescent="0.2">
      <c r="A34" t="s">
        <v>61</v>
      </c>
      <c r="B34" s="7"/>
      <c r="C34" s="7">
        <v>64758</v>
      </c>
      <c r="D34" s="7">
        <v>74834</v>
      </c>
      <c r="E34" s="17" t="s">
        <v>79</v>
      </c>
    </row>
    <row r="35" spans="1:5" x14ac:dyDescent="0.2">
      <c r="A35" s="1" t="s">
        <v>62</v>
      </c>
      <c r="B35" s="16"/>
      <c r="C35" s="16">
        <v>209017</v>
      </c>
      <c r="D35" s="16">
        <v>211993</v>
      </c>
      <c r="E35" s="17" t="s">
        <v>79</v>
      </c>
    </row>
    <row r="36" spans="1:5" x14ac:dyDescent="0.2">
      <c r="A36" s="1" t="s">
        <v>63</v>
      </c>
      <c r="B36" s="16"/>
      <c r="C36" s="16">
        <v>352583</v>
      </c>
      <c r="D36" s="16">
        <v>364980</v>
      </c>
      <c r="E36" s="17" t="s">
        <v>79</v>
      </c>
    </row>
    <row r="37" spans="1:5" x14ac:dyDescent="0.2">
      <c r="B37" s="7"/>
      <c r="C37" s="7"/>
      <c r="D37" s="7"/>
      <c r="E37" s="17"/>
    </row>
    <row r="38" spans="1:5" x14ac:dyDescent="0.2">
      <c r="A38" t="s">
        <v>64</v>
      </c>
      <c r="B38" s="7"/>
      <c r="C38" s="7">
        <v>62611</v>
      </c>
      <c r="D38" s="7">
        <v>68960</v>
      </c>
      <c r="E38" s="17" t="s">
        <v>79</v>
      </c>
    </row>
    <row r="39" spans="1:5" x14ac:dyDescent="0.2">
      <c r="A39" t="s">
        <v>65</v>
      </c>
      <c r="B39" s="7"/>
      <c r="C39" s="7">
        <v>58829</v>
      </c>
      <c r="D39" s="7">
        <v>78304</v>
      </c>
      <c r="E39" s="17" t="s">
        <v>79</v>
      </c>
    </row>
    <row r="40" spans="1:5" x14ac:dyDescent="0.2">
      <c r="A40" t="s">
        <v>66</v>
      </c>
      <c r="B40" s="7"/>
      <c r="C40" s="7">
        <v>8061</v>
      </c>
      <c r="D40" s="7">
        <v>8249</v>
      </c>
      <c r="E40" s="17" t="s">
        <v>79</v>
      </c>
    </row>
    <row r="41" spans="1:5" x14ac:dyDescent="0.2">
      <c r="A41" t="s">
        <v>67</v>
      </c>
      <c r="B41" s="7"/>
      <c r="C41" s="7">
        <v>5985</v>
      </c>
      <c r="D41" s="7">
        <v>9967</v>
      </c>
      <c r="E41" s="17" t="s">
        <v>79</v>
      </c>
    </row>
    <row r="42" spans="1:5" x14ac:dyDescent="0.2">
      <c r="A42" t="s">
        <v>68</v>
      </c>
      <c r="B42" s="7"/>
      <c r="C42" s="7">
        <v>9822</v>
      </c>
      <c r="D42" s="7">
        <v>10912</v>
      </c>
      <c r="E42" s="17" t="s">
        <v>79</v>
      </c>
    </row>
    <row r="43" spans="1:5" x14ac:dyDescent="0.2">
      <c r="A43" s="1" t="s">
        <v>69</v>
      </c>
      <c r="B43" s="16"/>
      <c r="C43" s="16">
        <v>145308</v>
      </c>
      <c r="D43" s="16">
        <v>176392</v>
      </c>
      <c r="E43" s="17" t="s">
        <v>79</v>
      </c>
    </row>
    <row r="44" spans="1:5" x14ac:dyDescent="0.2">
      <c r="A44" t="s">
        <v>70</v>
      </c>
      <c r="B44" s="7"/>
      <c r="C44" s="7">
        <v>95281</v>
      </c>
      <c r="D44" s="7">
        <v>85750</v>
      </c>
      <c r="E44" s="17" t="s">
        <v>79</v>
      </c>
    </row>
    <row r="45" spans="1:5" x14ac:dyDescent="0.2">
      <c r="A45" t="s">
        <v>71</v>
      </c>
      <c r="B45" s="7"/>
      <c r="C45" s="7">
        <v>49848</v>
      </c>
      <c r="D45" s="7">
        <v>45888</v>
      </c>
      <c r="E45" s="17" t="s">
        <v>79</v>
      </c>
    </row>
    <row r="46" spans="1:5" x14ac:dyDescent="0.2">
      <c r="A46" s="1" t="s">
        <v>72</v>
      </c>
      <c r="B46" s="16"/>
      <c r="C46" s="16">
        <v>145129</v>
      </c>
      <c r="D46" s="16">
        <v>131638</v>
      </c>
      <c r="E46" s="17" t="s">
        <v>79</v>
      </c>
    </row>
    <row r="47" spans="1:5" x14ac:dyDescent="0.2">
      <c r="A47" s="1" t="s">
        <v>73</v>
      </c>
      <c r="B47" s="16"/>
      <c r="C47" s="16">
        <v>290437</v>
      </c>
      <c r="D47" s="16">
        <v>308030</v>
      </c>
      <c r="E47" s="17" t="s">
        <v>79</v>
      </c>
    </row>
    <row r="48" spans="1:5" x14ac:dyDescent="0.2">
      <c r="B48" s="7"/>
      <c r="C48" s="7"/>
      <c r="D48" s="7"/>
      <c r="E48" s="17"/>
    </row>
    <row r="49" spans="1:5" x14ac:dyDescent="0.2">
      <c r="A49" t="s">
        <v>74</v>
      </c>
      <c r="B49" s="7"/>
      <c r="C49" s="7">
        <v>73812</v>
      </c>
      <c r="D49" s="7">
        <v>83276</v>
      </c>
      <c r="E49" s="17" t="s">
        <v>79</v>
      </c>
    </row>
    <row r="50" spans="1:5" x14ac:dyDescent="0.2">
      <c r="A50" t="s">
        <v>75</v>
      </c>
      <c r="B50" s="7"/>
      <c r="C50" s="7">
        <v>-214</v>
      </c>
      <c r="D50" s="7">
        <v>-19154</v>
      </c>
      <c r="E50" s="17" t="s">
        <v>79</v>
      </c>
    </row>
    <row r="51" spans="1:5" x14ac:dyDescent="0.2">
      <c r="A51" t="s">
        <v>76</v>
      </c>
      <c r="B51" s="7"/>
      <c r="C51" s="7">
        <v>-11452</v>
      </c>
      <c r="D51" s="7">
        <v>-7172</v>
      </c>
      <c r="E51" s="17" t="s">
        <v>79</v>
      </c>
    </row>
    <row r="52" spans="1:5" x14ac:dyDescent="0.2">
      <c r="A52" s="1" t="s">
        <v>77</v>
      </c>
      <c r="B52" s="16"/>
      <c r="C52" s="16">
        <v>62146</v>
      </c>
      <c r="D52" s="16">
        <v>56950</v>
      </c>
      <c r="E52" s="17" t="s">
        <v>79</v>
      </c>
    </row>
    <row r="53" spans="1:5" x14ac:dyDescent="0.2">
      <c r="A53" s="1" t="s">
        <v>78</v>
      </c>
      <c r="B53" s="16"/>
      <c r="C53" s="16">
        <v>352583</v>
      </c>
      <c r="D53" s="16">
        <v>364980</v>
      </c>
      <c r="E53" s="17" t="s">
        <v>79</v>
      </c>
    </row>
    <row r="55" spans="1:5" x14ac:dyDescent="0.2">
      <c r="A55" s="1" t="s">
        <v>80</v>
      </c>
    </row>
    <row r="56" spans="1:5" x14ac:dyDescent="0.2">
      <c r="A56" s="15" t="s">
        <v>81</v>
      </c>
      <c r="B56" s="18">
        <v>35929</v>
      </c>
      <c r="C56" s="18">
        <v>24977</v>
      </c>
      <c r="D56" s="18">
        <v>30737</v>
      </c>
      <c r="E56" s="19" t="s">
        <v>109</v>
      </c>
    </row>
    <row r="57" spans="1:5" x14ac:dyDescent="0.2">
      <c r="A57" s="1" t="s">
        <v>33</v>
      </c>
      <c r="B57" s="20">
        <v>99803</v>
      </c>
      <c r="C57" s="20">
        <v>96995</v>
      </c>
      <c r="D57" s="20">
        <v>93736</v>
      </c>
      <c r="E57" s="19" t="s">
        <v>109</v>
      </c>
    </row>
    <row r="58" spans="1:5" x14ac:dyDescent="0.2">
      <c r="A58" t="s">
        <v>82</v>
      </c>
      <c r="B58" s="18">
        <v>11104</v>
      </c>
      <c r="C58" s="18">
        <v>11519</v>
      </c>
      <c r="D58" s="18">
        <v>11445</v>
      </c>
      <c r="E58" s="19" t="s">
        <v>109</v>
      </c>
    </row>
    <row r="59" spans="1:5" x14ac:dyDescent="0.2">
      <c r="A59" t="s">
        <v>83</v>
      </c>
      <c r="B59" s="18">
        <v>9038</v>
      </c>
      <c r="C59" s="18">
        <v>10833</v>
      </c>
      <c r="D59" s="18">
        <v>11688</v>
      </c>
      <c r="E59" s="19" t="s">
        <v>109</v>
      </c>
    </row>
    <row r="60" spans="1:5" x14ac:dyDescent="0.2">
      <c r="A60" t="s">
        <v>84</v>
      </c>
      <c r="B60" s="18">
        <v>1006</v>
      </c>
      <c r="C60" s="18">
        <v>-2227</v>
      </c>
      <c r="D60" s="18">
        <v>-2266</v>
      </c>
      <c r="E60" s="19" t="s">
        <v>109</v>
      </c>
    </row>
    <row r="61" spans="1:5" x14ac:dyDescent="0.2">
      <c r="A61" t="s">
        <v>85</v>
      </c>
      <c r="B61" s="18">
        <v>-1823</v>
      </c>
      <c r="C61" s="18">
        <v>-1688</v>
      </c>
      <c r="D61" s="18">
        <v>-3788</v>
      </c>
      <c r="E61" s="19" t="s">
        <v>109</v>
      </c>
    </row>
    <row r="62" spans="1:5" x14ac:dyDescent="0.2">
      <c r="A62" t="s">
        <v>86</v>
      </c>
      <c r="B62" s="18">
        <v>-7520</v>
      </c>
      <c r="C62" s="18">
        <v>1271</v>
      </c>
      <c r="D62" s="18">
        <v>-1356</v>
      </c>
      <c r="E62" s="19" t="s">
        <v>109</v>
      </c>
    </row>
    <row r="63" spans="1:5" x14ac:dyDescent="0.2">
      <c r="A63" t="s">
        <v>87</v>
      </c>
      <c r="B63" s="18">
        <v>1484</v>
      </c>
      <c r="C63" s="18">
        <v>-1618</v>
      </c>
      <c r="D63" s="18">
        <v>-1046</v>
      </c>
      <c r="E63" s="19" t="s">
        <v>109</v>
      </c>
    </row>
    <row r="64" spans="1:5" x14ac:dyDescent="0.2">
      <c r="A64" t="s">
        <v>88</v>
      </c>
      <c r="B64" s="18">
        <v>-6499</v>
      </c>
      <c r="C64" s="18">
        <v>-5684</v>
      </c>
      <c r="D64" s="18">
        <v>-11731</v>
      </c>
      <c r="E64" s="19" t="s">
        <v>109</v>
      </c>
    </row>
    <row r="65" spans="1:5" x14ac:dyDescent="0.2">
      <c r="A65" t="s">
        <v>89</v>
      </c>
      <c r="B65" s="18">
        <v>9448</v>
      </c>
      <c r="C65" s="18">
        <v>-1889</v>
      </c>
      <c r="D65" s="18">
        <v>6020</v>
      </c>
      <c r="E65" s="19" t="s">
        <v>109</v>
      </c>
    </row>
    <row r="66" spans="1:5" x14ac:dyDescent="0.2">
      <c r="A66" t="s">
        <v>90</v>
      </c>
      <c r="B66" s="18">
        <v>6110</v>
      </c>
      <c r="C66" s="18">
        <v>3031</v>
      </c>
      <c r="D66" s="18">
        <v>15552</v>
      </c>
      <c r="E66" s="19" t="s">
        <v>109</v>
      </c>
    </row>
    <row r="67" spans="1:5" x14ac:dyDescent="0.2">
      <c r="A67" s="1" t="s">
        <v>91</v>
      </c>
      <c r="B67" s="20">
        <v>122151</v>
      </c>
      <c r="C67" s="20">
        <v>110543</v>
      </c>
      <c r="D67" s="20">
        <v>118254</v>
      </c>
      <c r="E67" s="19" t="s">
        <v>109</v>
      </c>
    </row>
    <row r="68" spans="1:5" x14ac:dyDescent="0.2">
      <c r="A68" t="s">
        <v>92</v>
      </c>
      <c r="B68" s="18">
        <v>-76923</v>
      </c>
      <c r="C68" s="18">
        <v>-29513</v>
      </c>
      <c r="D68" s="18">
        <v>-48656</v>
      </c>
      <c r="E68" s="19" t="s">
        <v>109</v>
      </c>
    </row>
    <row r="69" spans="1:5" x14ac:dyDescent="0.2">
      <c r="A69" t="s">
        <v>93</v>
      </c>
      <c r="B69" s="18">
        <v>29917</v>
      </c>
      <c r="C69" s="18">
        <v>39686</v>
      </c>
      <c r="D69" s="18">
        <v>51211</v>
      </c>
      <c r="E69" s="19" t="s">
        <v>109</v>
      </c>
    </row>
    <row r="70" spans="1:5" x14ac:dyDescent="0.2">
      <c r="A70" t="s">
        <v>94</v>
      </c>
      <c r="B70" s="18">
        <v>37446</v>
      </c>
      <c r="C70" s="18">
        <v>5828</v>
      </c>
      <c r="D70" s="18">
        <v>11135</v>
      </c>
      <c r="E70" s="19" t="s">
        <v>109</v>
      </c>
    </row>
    <row r="71" spans="1:5" x14ac:dyDescent="0.2">
      <c r="A71" t="s">
        <v>95</v>
      </c>
      <c r="B71" s="18">
        <v>-10708</v>
      </c>
      <c r="C71" s="18">
        <v>-10959</v>
      </c>
      <c r="D71" s="18">
        <v>-9447</v>
      </c>
      <c r="E71" s="19" t="s">
        <v>109</v>
      </c>
    </row>
    <row r="72" spans="1:5" x14ac:dyDescent="0.2">
      <c r="A72" t="s">
        <v>96</v>
      </c>
      <c r="B72" s="18">
        <v>-2086</v>
      </c>
      <c r="C72" s="18">
        <v>-1337</v>
      </c>
      <c r="D72" s="18">
        <v>-1308</v>
      </c>
      <c r="E72" s="19" t="s">
        <v>109</v>
      </c>
    </row>
    <row r="73" spans="1:5" x14ac:dyDescent="0.2">
      <c r="A73" s="1" t="s">
        <v>97</v>
      </c>
      <c r="B73" s="20">
        <v>-22354</v>
      </c>
      <c r="C73" s="20">
        <v>3705</v>
      </c>
      <c r="D73" s="20">
        <v>2935</v>
      </c>
      <c r="E73" s="19" t="s">
        <v>109</v>
      </c>
    </row>
    <row r="74" spans="1:5" x14ac:dyDescent="0.2">
      <c r="A74" t="s">
        <v>98</v>
      </c>
      <c r="B74" s="18">
        <v>-6223</v>
      </c>
      <c r="C74" s="18">
        <v>-5431</v>
      </c>
      <c r="D74" s="18">
        <v>-5441</v>
      </c>
      <c r="E74" s="19" t="s">
        <v>109</v>
      </c>
    </row>
    <row r="75" spans="1:5" x14ac:dyDescent="0.2">
      <c r="A75" t="s">
        <v>99</v>
      </c>
      <c r="B75" s="18">
        <v>-14841</v>
      </c>
      <c r="C75" s="18">
        <v>-15025</v>
      </c>
      <c r="D75" s="18">
        <v>-15234</v>
      </c>
      <c r="E75" s="19" t="s">
        <v>109</v>
      </c>
    </row>
    <row r="76" spans="1:5" x14ac:dyDescent="0.2">
      <c r="A76" t="s">
        <v>100</v>
      </c>
      <c r="B76" s="18">
        <v>-89402</v>
      </c>
      <c r="C76" s="18">
        <v>-77550</v>
      </c>
      <c r="D76" s="18">
        <v>-94949</v>
      </c>
      <c r="E76" s="19" t="s">
        <v>109</v>
      </c>
    </row>
    <row r="77" spans="1:5" x14ac:dyDescent="0.2">
      <c r="A77" t="s">
        <v>101</v>
      </c>
      <c r="B77" s="18">
        <v>5465</v>
      </c>
      <c r="C77" s="18">
        <v>5228</v>
      </c>
      <c r="D77" s="18">
        <v>0</v>
      </c>
      <c r="E77" s="19" t="s">
        <v>109</v>
      </c>
    </row>
    <row r="78" spans="1:5" x14ac:dyDescent="0.2">
      <c r="A78" t="s">
        <v>102</v>
      </c>
      <c r="B78" s="18">
        <v>-9543</v>
      </c>
      <c r="C78" s="18">
        <v>-11151</v>
      </c>
      <c r="D78" s="18">
        <v>-9958</v>
      </c>
      <c r="E78" s="19" t="s">
        <v>109</v>
      </c>
    </row>
    <row r="79" spans="1:5" x14ac:dyDescent="0.2">
      <c r="A79" t="s">
        <v>103</v>
      </c>
      <c r="B79" s="18">
        <v>3955</v>
      </c>
      <c r="C79" s="18">
        <v>-3978</v>
      </c>
      <c r="D79" s="18">
        <v>3960</v>
      </c>
      <c r="E79" s="19" t="s">
        <v>109</v>
      </c>
    </row>
    <row r="80" spans="1:5" x14ac:dyDescent="0.2">
      <c r="A80" t="s">
        <v>104</v>
      </c>
      <c r="B80" s="18">
        <v>-160</v>
      </c>
      <c r="C80" s="18">
        <v>-581</v>
      </c>
      <c r="D80" s="18">
        <v>-361</v>
      </c>
      <c r="E80" s="19" t="s">
        <v>109</v>
      </c>
    </row>
    <row r="81" spans="1:5" x14ac:dyDescent="0.2">
      <c r="A81" s="1" t="s">
        <v>105</v>
      </c>
      <c r="B81" s="20">
        <v>-110749</v>
      </c>
      <c r="C81" s="20">
        <v>-108488</v>
      </c>
      <c r="D81" s="20">
        <v>-121983</v>
      </c>
      <c r="E81" s="19" t="s">
        <v>109</v>
      </c>
    </row>
    <row r="82" spans="1:5" x14ac:dyDescent="0.2">
      <c r="A82" s="1" t="s">
        <v>106</v>
      </c>
      <c r="B82" s="20">
        <v>-10952</v>
      </c>
      <c r="C82" s="20">
        <v>5760</v>
      </c>
      <c r="D82" s="20">
        <v>-794</v>
      </c>
      <c r="E82" s="19" t="s">
        <v>109</v>
      </c>
    </row>
    <row r="83" spans="1:5" x14ac:dyDescent="0.2">
      <c r="A83" s="1" t="s">
        <v>107</v>
      </c>
      <c r="B83" s="20">
        <v>24977</v>
      </c>
      <c r="C83" s="20">
        <v>30737</v>
      </c>
      <c r="D83" s="20">
        <v>29943</v>
      </c>
      <c r="E83" s="19" t="s">
        <v>109</v>
      </c>
    </row>
    <row r="84" spans="1:5" x14ac:dyDescent="0.2">
      <c r="A84" t="s">
        <v>108</v>
      </c>
      <c r="B84" s="18">
        <v>19573</v>
      </c>
      <c r="C84" s="18">
        <v>18679</v>
      </c>
      <c r="D84" s="18">
        <v>26102</v>
      </c>
      <c r="E84" s="19" t="s">
        <v>109</v>
      </c>
    </row>
  </sheetData>
  <phoneticPr fontId="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0C5B-1DBA-6F4E-AD55-4D2F63E46A81}">
  <dimension ref="A1:J31"/>
  <sheetViews>
    <sheetView workbookViewId="0">
      <selection activeCell="E17" sqref="E17"/>
    </sheetView>
  </sheetViews>
  <sheetFormatPr baseColWidth="10" defaultRowHeight="16" x14ac:dyDescent="0.2"/>
  <cols>
    <col min="1" max="1" width="35.83203125" customWidth="1"/>
    <col min="5" max="5" width="10.83203125" style="23"/>
  </cols>
  <sheetData>
    <row r="1" spans="1:10" s="1" customFormat="1" x14ac:dyDescent="0.2">
      <c r="B1" s="1" t="s">
        <v>38</v>
      </c>
      <c r="C1" s="1" t="s">
        <v>39</v>
      </c>
      <c r="D1" s="1" t="s">
        <v>40</v>
      </c>
      <c r="E1" s="23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</row>
    <row r="2" spans="1:10" x14ac:dyDescent="0.2">
      <c r="A2" t="s">
        <v>116</v>
      </c>
    </row>
    <row r="4" spans="1:10" x14ac:dyDescent="0.2">
      <c r="A4" s="1" t="s">
        <v>117</v>
      </c>
    </row>
    <row r="5" spans="1:10" x14ac:dyDescent="0.2">
      <c r="A5" t="s">
        <v>44</v>
      </c>
      <c r="C5" s="21">
        <f>('Historical Financials '!C6/'Historical Financials '!B6)-1</f>
        <v>-2.800460530319937E-2</v>
      </c>
      <c r="D5" s="21">
        <f>('Historical Financials '!D6/'Historical Financials '!C6)-1</f>
        <v>2.021994077514111E-2</v>
      </c>
      <c r="E5" s="24">
        <f>AVERAGE(B5:D5)</f>
        <v>-3.8923322640291302E-3</v>
      </c>
      <c r="F5" s="21">
        <f>E5</f>
        <v>-3.8923322640291302E-3</v>
      </c>
      <c r="G5" s="21">
        <f t="shared" ref="G5:J5" si="0">F5</f>
        <v>-3.8923322640291302E-3</v>
      </c>
      <c r="H5" s="21">
        <f t="shared" si="0"/>
        <v>-3.8923322640291302E-3</v>
      </c>
      <c r="I5" s="21">
        <f t="shared" si="0"/>
        <v>-3.8923322640291302E-3</v>
      </c>
      <c r="J5" s="21">
        <f t="shared" si="0"/>
        <v>-3.8923322640291302E-3</v>
      </c>
    </row>
    <row r="6" spans="1:10" x14ac:dyDescent="0.2">
      <c r="A6" t="s">
        <v>45</v>
      </c>
      <c r="B6" s="21">
        <f>'Historical Financials '!B10/'Historical Financials '!B6</f>
        <v>0.43309630561360085</v>
      </c>
      <c r="C6" s="21">
        <f>'Historical Financials '!C10/'Historical Financials '!C6</f>
        <v>0.44131129577207562</v>
      </c>
      <c r="D6" s="21">
        <f>'Historical Financials '!D10/'Historical Financials '!D6</f>
        <v>0.46206349815233932</v>
      </c>
      <c r="E6" s="24">
        <f>AVERAGE(B6:D6)</f>
        <v>0.44549036651267193</v>
      </c>
      <c r="F6" s="21">
        <f t="shared" ref="F6:J11" si="1">E6</f>
        <v>0.44549036651267193</v>
      </c>
      <c r="G6" s="21">
        <f t="shared" si="1"/>
        <v>0.44549036651267193</v>
      </c>
      <c r="H6" s="21">
        <f t="shared" si="1"/>
        <v>0.44549036651267193</v>
      </c>
      <c r="I6" s="21">
        <f t="shared" si="1"/>
        <v>0.44549036651267193</v>
      </c>
      <c r="J6" s="21">
        <f t="shared" si="1"/>
        <v>0.44549036651267193</v>
      </c>
    </row>
    <row r="7" spans="1:10" x14ac:dyDescent="0.2">
      <c r="A7" t="s">
        <v>46</v>
      </c>
      <c r="B7" s="21">
        <f>'Historical Financials '!B11/'Historical Financials '!B6</f>
        <v>6.657148363798665E-2</v>
      </c>
      <c r="C7" s="21">
        <f>'Historical Financials '!C11/'Historical Financials '!C6</f>
        <v>7.8048971392045086E-2</v>
      </c>
      <c r="D7" s="21">
        <f>'Historical Financials '!D11/'Historical Financials '!D6</f>
        <v>8.0222997941360744E-2</v>
      </c>
      <c r="E7" s="24">
        <f t="shared" ref="E7:E11" si="2">AVERAGE(B7:D7)</f>
        <v>7.4947817657130822E-2</v>
      </c>
      <c r="F7" s="21">
        <f t="shared" si="1"/>
        <v>7.4947817657130822E-2</v>
      </c>
      <c r="G7" s="21">
        <f t="shared" si="1"/>
        <v>7.4947817657130822E-2</v>
      </c>
      <c r="H7" s="21">
        <f t="shared" si="1"/>
        <v>7.4947817657130822E-2</v>
      </c>
      <c r="I7" s="21">
        <f t="shared" si="1"/>
        <v>7.4947817657130822E-2</v>
      </c>
      <c r="J7" s="21">
        <f t="shared" si="1"/>
        <v>7.4947817657130822E-2</v>
      </c>
    </row>
    <row r="8" spans="1:10" x14ac:dyDescent="0.2">
      <c r="A8" t="s">
        <v>47</v>
      </c>
      <c r="B8" s="21">
        <f>'Historical Financials '!B12/'Historical Financials '!B6</f>
        <v>6.3637378020328261E-2</v>
      </c>
      <c r="C8" s="21">
        <f>'Historical Financials '!C12/'Historical Financials '!C6</f>
        <v>6.5048201729783317E-2</v>
      </c>
      <c r="D8" s="21">
        <f>'Historical Financials '!D12/'Historical Financials '!D6</f>
        <v>6.6738271510222866E-2</v>
      </c>
      <c r="E8" s="24">
        <f t="shared" si="2"/>
        <v>6.5141283753444815E-2</v>
      </c>
      <c r="F8" s="21">
        <f t="shared" si="1"/>
        <v>6.5141283753444815E-2</v>
      </c>
      <c r="G8" s="21">
        <f t="shared" si="1"/>
        <v>6.5141283753444815E-2</v>
      </c>
      <c r="H8" s="21">
        <f t="shared" si="1"/>
        <v>6.5141283753444815E-2</v>
      </c>
      <c r="I8" s="21">
        <f t="shared" si="1"/>
        <v>6.5141283753444815E-2</v>
      </c>
      <c r="J8" s="21">
        <f t="shared" si="1"/>
        <v>6.5141283753444815E-2</v>
      </c>
    </row>
    <row r="9" spans="1:10" x14ac:dyDescent="0.2">
      <c r="A9" t="s">
        <v>118</v>
      </c>
      <c r="B9" s="21">
        <f>'Historical Financials '!B15/'Historical Financials '!B6</f>
        <v>-8.4701061045626988E-4</v>
      </c>
      <c r="C9" s="21">
        <f>'Historical Financials '!C15/'Historical Financials '!C6</f>
        <v>-1.4740989081231982E-3</v>
      </c>
      <c r="D9" s="21">
        <f>'Historical Financials '!D15/'Historical Financials '!D6</f>
        <v>6.8791796130781137E-4</v>
      </c>
      <c r="E9" s="24">
        <f t="shared" si="2"/>
        <v>-5.4439718575721892E-4</v>
      </c>
      <c r="F9" s="21">
        <f t="shared" si="1"/>
        <v>-5.4439718575721892E-4</v>
      </c>
      <c r="G9" s="21">
        <f t="shared" si="1"/>
        <v>-5.4439718575721892E-4</v>
      </c>
      <c r="H9" s="21">
        <f t="shared" si="1"/>
        <v>-5.4439718575721892E-4</v>
      </c>
      <c r="I9" s="21">
        <f t="shared" si="1"/>
        <v>-5.4439718575721892E-4</v>
      </c>
      <c r="J9" s="21">
        <f t="shared" si="1"/>
        <v>-5.4439718575721892E-4</v>
      </c>
    </row>
    <row r="10" spans="1:10" x14ac:dyDescent="0.2">
      <c r="A10" t="s">
        <v>50</v>
      </c>
      <c r="B10" s="21">
        <f>'Historical Financials '!B17/'Historical Financials '!B16</f>
        <v>0.16204461684424407</v>
      </c>
      <c r="C10" s="21">
        <f>'Historical Financials '!C17/'Historical Financials '!C16</f>
        <v>0.14719174228036858</v>
      </c>
      <c r="D10" s="21">
        <f>'Historical Financials '!D17/'Historical Financials '!D16</f>
        <v>0.24091185164189982</v>
      </c>
      <c r="E10" s="24">
        <f t="shared" si="2"/>
        <v>0.18338273692217086</v>
      </c>
      <c r="F10" s="21">
        <f t="shared" si="1"/>
        <v>0.18338273692217086</v>
      </c>
      <c r="G10" s="21">
        <f t="shared" si="1"/>
        <v>0.18338273692217086</v>
      </c>
      <c r="H10" s="21">
        <f t="shared" si="1"/>
        <v>0.18338273692217086</v>
      </c>
      <c r="I10" s="21">
        <f t="shared" si="1"/>
        <v>0.18338273692217086</v>
      </c>
      <c r="J10" s="21">
        <f t="shared" si="1"/>
        <v>0.18338273692217086</v>
      </c>
    </row>
    <row r="11" spans="1:10" x14ac:dyDescent="0.2">
      <c r="A11" t="s">
        <v>136</v>
      </c>
      <c r="B11" s="21">
        <f>'Historical Financials '!B18/'Historical Financials '!B6</f>
        <v>0.25309640705199732</v>
      </c>
      <c r="C11" s="21">
        <f>'Historical Financials '!C18/'Historical Financials '!C6</f>
        <v>0.25306234264320282</v>
      </c>
      <c r="D11" s="21">
        <f>'Historical Financials '!D18/'Historical Financials '!D6</f>
        <v>0.23971255769943867</v>
      </c>
      <c r="E11" s="24">
        <f t="shared" si="2"/>
        <v>0.24862376913154627</v>
      </c>
      <c r="F11" s="21">
        <f t="shared" si="1"/>
        <v>0.24862376913154627</v>
      </c>
      <c r="G11" s="21">
        <f t="shared" si="1"/>
        <v>0.24862376913154627</v>
      </c>
      <c r="H11" s="21">
        <f t="shared" si="1"/>
        <v>0.24862376913154627</v>
      </c>
      <c r="I11" s="21">
        <f t="shared" si="1"/>
        <v>0.24862376913154627</v>
      </c>
      <c r="J11" s="21">
        <f t="shared" si="1"/>
        <v>0.24862376913154627</v>
      </c>
    </row>
    <row r="12" spans="1:10" x14ac:dyDescent="0.2">
      <c r="B12" s="21"/>
      <c r="C12" s="21"/>
      <c r="D12" s="21"/>
      <c r="E12" s="24"/>
    </row>
    <row r="13" spans="1:10" x14ac:dyDescent="0.2">
      <c r="A13" s="1" t="s">
        <v>119</v>
      </c>
    </row>
    <row r="14" spans="1:10" x14ac:dyDescent="0.2">
      <c r="A14" t="s">
        <v>120</v>
      </c>
      <c r="C14" s="21">
        <f>'Historical Financials '!C27/'Historical Financials '!C6</f>
        <v>7.6987098373273152E-2</v>
      </c>
      <c r="D14" s="21">
        <f>'Historical Financials '!D27/'Historical Financials '!D6</f>
        <v>8.543992225759843E-2</v>
      </c>
      <c r="E14" s="24">
        <f>AVERAGE(B14:D14)</f>
        <v>8.1213510315435791E-2</v>
      </c>
      <c r="F14" s="21">
        <f t="shared" ref="F14:J19" si="3">AVERAGE(C14:E14)</f>
        <v>8.1213510315435791E-2</v>
      </c>
      <c r="G14" s="21">
        <f t="shared" si="3"/>
        <v>8.2622314296156671E-2</v>
      </c>
      <c r="H14" s="21">
        <f t="shared" si="3"/>
        <v>8.1683111642342751E-2</v>
      </c>
      <c r="I14" s="21">
        <f t="shared" si="3"/>
        <v>8.1839645417978404E-2</v>
      </c>
      <c r="J14" s="21">
        <f t="shared" si="3"/>
        <v>8.2048357118825951E-2</v>
      </c>
    </row>
    <row r="15" spans="1:10" x14ac:dyDescent="0.2">
      <c r="A15" t="s">
        <v>121</v>
      </c>
      <c r="C15" s="21">
        <f>'Historical Financials '!C29/'Historical Financials '!C6</f>
        <v>1.6517734844828262E-2</v>
      </c>
      <c r="D15" s="21">
        <f>'Historical Financials '!D29/'Historical Financials '!D6</f>
        <v>1.8632603219660645E-2</v>
      </c>
      <c r="E15" s="24">
        <f t="shared" ref="E15:E19" si="4">AVERAGE(B15:D15)</f>
        <v>1.7575169032244452E-2</v>
      </c>
      <c r="F15" s="21">
        <f t="shared" si="3"/>
        <v>1.7575169032244452E-2</v>
      </c>
      <c r="G15" s="21">
        <f t="shared" si="3"/>
        <v>1.7927647094716514E-2</v>
      </c>
      <c r="H15" s="21">
        <f t="shared" si="3"/>
        <v>1.7692661719735141E-2</v>
      </c>
      <c r="I15" s="21">
        <f t="shared" si="3"/>
        <v>1.7731825948898702E-2</v>
      </c>
      <c r="J15" s="21">
        <f t="shared" si="3"/>
        <v>1.7784044921116786E-2</v>
      </c>
    </row>
    <row r="16" spans="1:10" x14ac:dyDescent="0.2">
      <c r="A16" t="s">
        <v>122</v>
      </c>
      <c r="C16" s="21">
        <f>'Historical Financials '!C30/'Historical Financials '!C6</f>
        <v>3.8339616734283891E-2</v>
      </c>
      <c r="D16" s="21">
        <f>'Historical Financials '!D30/'Historical Financials '!D6</f>
        <v>3.6536371424552787E-2</v>
      </c>
      <c r="E16" s="24">
        <f t="shared" si="4"/>
        <v>3.7437994079418335E-2</v>
      </c>
      <c r="F16" s="21">
        <f t="shared" si="3"/>
        <v>3.7437994079418335E-2</v>
      </c>
      <c r="G16" s="21">
        <f t="shared" si="3"/>
        <v>3.7137453194463155E-2</v>
      </c>
      <c r="H16" s="21">
        <f t="shared" si="3"/>
        <v>3.7337813784433273E-2</v>
      </c>
      <c r="I16" s="21">
        <f t="shared" si="3"/>
        <v>3.7304420352771588E-2</v>
      </c>
      <c r="J16" s="21">
        <f t="shared" si="3"/>
        <v>3.7259895777222669E-2</v>
      </c>
    </row>
    <row r="17" spans="1:10" x14ac:dyDescent="0.2">
      <c r="A17" t="s">
        <v>123</v>
      </c>
      <c r="C17" s="39">
        <f>'Historical Financials '!C38/'Historical Financials '!C9</f>
        <v>0.29238758364971956</v>
      </c>
      <c r="D17" s="39">
        <f>'Historical Financials '!D38/'Historical Financials '!D9</f>
        <v>0.32783144443599299</v>
      </c>
      <c r="E17" s="24">
        <f>AVERAGE(B17:D17)</f>
        <v>0.31010951404285625</v>
      </c>
      <c r="F17" s="39">
        <f>AVERAGE(C17:E17)</f>
        <v>0.31010951404285625</v>
      </c>
      <c r="G17" s="39">
        <f>AVERAGE(D17:F17)</f>
        <v>0.31601682417390181</v>
      </c>
      <c r="H17" s="39">
        <f>AVERAGE(E17:G17)</f>
        <v>0.31207861741987147</v>
      </c>
      <c r="I17" s="39">
        <f>AVERAGE(F17:H17)</f>
        <v>0.31273498521220988</v>
      </c>
      <c r="J17" s="36">
        <f>AVERAGE(G17:I17)</f>
        <v>0.31361014226866107</v>
      </c>
    </row>
    <row r="18" spans="1:10" x14ac:dyDescent="0.2">
      <c r="A18" t="s">
        <v>124</v>
      </c>
      <c r="C18" s="21">
        <f>'Historical Financials '!C39/'Historical Financials '!C6</f>
        <v>0.15348630914332675</v>
      </c>
      <c r="D18" s="21">
        <f>'Historical Financials '!D39/'Historical Financials '!D6</f>
        <v>0.20024805963660541</v>
      </c>
      <c r="E18" s="24">
        <f t="shared" si="4"/>
        <v>0.17686718438996607</v>
      </c>
      <c r="F18" s="21">
        <f t="shared" si="3"/>
        <v>0.17686718438996607</v>
      </c>
      <c r="G18" s="21">
        <f t="shared" si="3"/>
        <v>0.18466080947217919</v>
      </c>
      <c r="H18" s="21">
        <f t="shared" si="3"/>
        <v>0.17946505941737045</v>
      </c>
      <c r="I18" s="21">
        <f t="shared" si="3"/>
        <v>0.18033101775983859</v>
      </c>
      <c r="J18" s="21">
        <f t="shared" si="3"/>
        <v>0.18148562888312944</v>
      </c>
    </row>
    <row r="19" spans="1:10" x14ac:dyDescent="0.2">
      <c r="A19" t="s">
        <v>125</v>
      </c>
      <c r="C19" s="21">
        <f>'Historical Financials '!C40/'Historical Financials '!C6</f>
        <v>2.1031347430763011E-2</v>
      </c>
      <c r="D19" s="21">
        <f>'Historical Financials '!D40/'Historical Financials '!D6</f>
        <v>2.1095298374825783E-2</v>
      </c>
      <c r="E19" s="24">
        <f t="shared" si="4"/>
        <v>2.1063322902794397E-2</v>
      </c>
      <c r="F19" s="21">
        <f t="shared" si="3"/>
        <v>2.1063322902794401E-2</v>
      </c>
      <c r="G19" s="21">
        <f t="shared" si="3"/>
        <v>2.1073981393471528E-2</v>
      </c>
      <c r="H19" s="21">
        <f t="shared" si="3"/>
        <v>2.1066875733020105E-2</v>
      </c>
      <c r="I19" s="21">
        <f t="shared" si="3"/>
        <v>2.106806000976201E-2</v>
      </c>
      <c r="J19" s="21">
        <f t="shared" si="3"/>
        <v>2.1069639045417882E-2</v>
      </c>
    </row>
    <row r="21" spans="1:10" x14ac:dyDescent="0.2">
      <c r="A21" s="1" t="s">
        <v>126</v>
      </c>
    </row>
    <row r="22" spans="1:10" x14ac:dyDescent="0.2">
      <c r="A22" t="s">
        <v>127</v>
      </c>
      <c r="B22" s="21">
        <f>'Historical Financials '!B58/'Historical Financials '!B6</f>
        <v>2.8159298857803657E-2</v>
      </c>
      <c r="C22" s="21">
        <f>'Historical Financials '!C58/'Historical Financials '!C6</f>
        <v>3.0053354553400212E-2</v>
      </c>
      <c r="D22" s="21">
        <f>'Historical Financials '!D58/'Historical Financials '!D6</f>
        <v>2.9268479803598143E-2</v>
      </c>
      <c r="E22" s="24">
        <f>AVERAGE(B22:D22)</f>
        <v>2.9160377738267337E-2</v>
      </c>
      <c r="F22" s="22">
        <f t="shared" ref="F22:J26" si="5">AVERAGE(C22:E22)</f>
        <v>2.9494070698421897E-2</v>
      </c>
      <c r="G22" s="22">
        <f t="shared" si="5"/>
        <v>2.9307642746762463E-2</v>
      </c>
      <c r="H22" s="22">
        <f t="shared" si="5"/>
        <v>2.9320697061150567E-2</v>
      </c>
      <c r="I22" s="22">
        <f t="shared" si="5"/>
        <v>2.9374136835444976E-2</v>
      </c>
      <c r="J22" s="22">
        <f t="shared" si="5"/>
        <v>2.9334158881119333E-2</v>
      </c>
    </row>
    <row r="23" spans="1:10" x14ac:dyDescent="0.2">
      <c r="A23" t="s">
        <v>128</v>
      </c>
      <c r="B23" s="21">
        <f>'Historical Financials '!B59/'Historical Financials '!B6</f>
        <v>2.2920005680550203E-2</v>
      </c>
      <c r="C23" s="21">
        <f>'Historical Financials '!C59/'Historical Financials '!C6</f>
        <v>2.8263563666723196E-2</v>
      </c>
      <c r="D23" s="21">
        <f>'Historical Financials '!D59/'Historical Financials '!D6</f>
        <v>2.9889907553032339E-2</v>
      </c>
      <c r="E23" s="24">
        <f t="shared" ref="E23:E26" si="6">AVERAGE(B23:D23)</f>
        <v>2.7024492300101913E-2</v>
      </c>
      <c r="F23" s="22">
        <f t="shared" si="5"/>
        <v>2.8392654506619149E-2</v>
      </c>
      <c r="G23" s="22">
        <f t="shared" si="5"/>
        <v>2.8435684786584467E-2</v>
      </c>
      <c r="H23" s="22">
        <f t="shared" si="5"/>
        <v>2.7950943864435179E-2</v>
      </c>
      <c r="I23" s="22">
        <f t="shared" si="5"/>
        <v>2.8259761052546267E-2</v>
      </c>
      <c r="J23" s="22">
        <f t="shared" si="5"/>
        <v>2.8215463234521971E-2</v>
      </c>
    </row>
    <row r="24" spans="1:10" x14ac:dyDescent="0.2">
      <c r="A24" t="s">
        <v>129</v>
      </c>
      <c r="B24" s="21">
        <f>ABS('Historical Financials '!B71/'Historical Financials '!B6)</f>
        <v>2.7155058732831552E-2</v>
      </c>
      <c r="C24" s="21">
        <f>ABS('Historical Financials '!C71/'Historical Financials '!C6)</f>
        <v>2.859230076835775E-2</v>
      </c>
      <c r="D24" s="21">
        <f>ABS('Historical Financials '!D71/'Historical Financials '!D6)</f>
        <v>2.415896275269477E-2</v>
      </c>
      <c r="E24" s="24">
        <f t="shared" si="6"/>
        <v>2.6635440751294689E-2</v>
      </c>
      <c r="F24" s="22">
        <f t="shared" si="5"/>
        <v>2.6462234757449066E-2</v>
      </c>
      <c r="G24" s="22">
        <f t="shared" si="5"/>
        <v>2.5752212753812842E-2</v>
      </c>
      <c r="H24" s="22">
        <f t="shared" si="5"/>
        <v>2.6283296087518865E-2</v>
      </c>
      <c r="I24" s="22">
        <f t="shared" si="5"/>
        <v>2.6165914532926923E-2</v>
      </c>
      <c r="J24" s="22">
        <f t="shared" si="5"/>
        <v>2.6067141124752877E-2</v>
      </c>
    </row>
    <row r="25" spans="1:10" x14ac:dyDescent="0.2">
      <c r="A25" t="s">
        <v>130</v>
      </c>
      <c r="B25" s="21">
        <f>ABS('Historical Financials '!B75/'Historical Financials '!B18)</f>
        <v>0.14870294480125848</v>
      </c>
      <c r="C25" s="21">
        <f>ABS('Historical Financials '!C75/'Historical Financials '!C18)</f>
        <v>0.1549048920047425</v>
      </c>
      <c r="D25" s="21">
        <f>ABS('Historical Financials '!D75/'Historical Financials '!D18)</f>
        <v>0.16252026969360758</v>
      </c>
      <c r="E25" s="24">
        <f t="shared" si="6"/>
        <v>0.15537603549986953</v>
      </c>
      <c r="F25" s="22">
        <f t="shared" si="5"/>
        <v>0.15760039906607323</v>
      </c>
      <c r="G25" s="22">
        <f t="shared" si="5"/>
        <v>0.15849890141985012</v>
      </c>
      <c r="H25" s="22">
        <f t="shared" si="5"/>
        <v>0.15715844532859763</v>
      </c>
      <c r="I25" s="22">
        <f t="shared" si="5"/>
        <v>0.15775258193817368</v>
      </c>
      <c r="J25" s="22">
        <f t="shared" si="5"/>
        <v>0.15780330956220714</v>
      </c>
    </row>
    <row r="26" spans="1:10" x14ac:dyDescent="0.2">
      <c r="A26" t="s">
        <v>131</v>
      </c>
      <c r="B26" s="21">
        <f>ABS('Historical Financials '!B76/'Historical Financials '!B6)</f>
        <v>0.22671988801201032</v>
      </c>
      <c r="C26" s="21">
        <f>ABS('Historical Financials '!C76/'Historical Financials '!C6)</f>
        <v>0.2023298589822195</v>
      </c>
      <c r="D26" s="21">
        <f>ABS('Historical Financials '!D76/'Historical Financials '!D6)</f>
        <v>0.24281458181492704</v>
      </c>
      <c r="E26" s="24">
        <f t="shared" si="6"/>
        <v>0.22395477626971894</v>
      </c>
      <c r="F26" s="22">
        <f t="shared" si="5"/>
        <v>0.22303307235562184</v>
      </c>
      <c r="G26" s="22">
        <f t="shared" si="5"/>
        <v>0.22993414348008925</v>
      </c>
      <c r="H26" s="22">
        <f t="shared" si="5"/>
        <v>0.22564066403514335</v>
      </c>
      <c r="I26" s="22">
        <f t="shared" si="5"/>
        <v>0.22620262662361815</v>
      </c>
      <c r="J26" s="22">
        <f t="shared" si="5"/>
        <v>0.22725914471295025</v>
      </c>
    </row>
    <row r="28" spans="1:10" x14ac:dyDescent="0.2">
      <c r="A28" s="1" t="s">
        <v>132</v>
      </c>
    </row>
    <row r="29" spans="1:10" x14ac:dyDescent="0.2">
      <c r="A29" t="s">
        <v>133</v>
      </c>
      <c r="C29">
        <f>'Historical Financials '!C41+'Historical Financials '!C42</f>
        <v>15807</v>
      </c>
      <c r="D29">
        <f>'Historical Financials '!D41+'Historical Financials '!D42</f>
        <v>20879</v>
      </c>
    </row>
    <row r="30" spans="1:10" x14ac:dyDescent="0.2">
      <c r="A30" t="s">
        <v>134</v>
      </c>
      <c r="C30">
        <f>'Historical Financials '!C44</f>
        <v>95281</v>
      </c>
      <c r="D30">
        <f>'Historical Financials '!D44</f>
        <v>85750</v>
      </c>
    </row>
    <row r="31" spans="1:10" x14ac:dyDescent="0.2">
      <c r="A31" t="s">
        <v>135</v>
      </c>
      <c r="C31">
        <f>SUM(C29:C30)</f>
        <v>111088</v>
      </c>
      <c r="D31">
        <f>SUM(D29:D30)</f>
        <v>106629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1672-CC45-FC40-9B5C-9A8E025D6D81}">
  <dimension ref="A1:I33"/>
  <sheetViews>
    <sheetView topLeftCell="A9" zoomScale="101" workbookViewId="0">
      <selection activeCell="A6" sqref="A6:XFD6"/>
    </sheetView>
  </sheetViews>
  <sheetFormatPr baseColWidth="10" defaultRowHeight="16" x14ac:dyDescent="0.2"/>
  <cols>
    <col min="1" max="1" width="43" customWidth="1"/>
    <col min="5" max="5" width="10.83203125" style="31"/>
  </cols>
  <sheetData>
    <row r="1" spans="1:9" ht="19" x14ac:dyDescent="0.25">
      <c r="A1" s="25" t="s">
        <v>10</v>
      </c>
    </row>
    <row r="2" spans="1:9" ht="19" x14ac:dyDescent="0.25">
      <c r="A2" s="25" t="s">
        <v>137</v>
      </c>
    </row>
    <row r="3" spans="1:9" ht="19" x14ac:dyDescent="0.25">
      <c r="A3" s="25" t="s">
        <v>138</v>
      </c>
    </row>
    <row r="4" spans="1:9" ht="19" x14ac:dyDescent="0.25">
      <c r="A4" s="25" t="s">
        <v>139</v>
      </c>
    </row>
    <row r="6" spans="1:9" s="4" customFormat="1" x14ac:dyDescent="0.2">
      <c r="B6" s="4" t="s">
        <v>38</v>
      </c>
      <c r="C6" s="4" t="s">
        <v>39</v>
      </c>
      <c r="D6" s="4" t="s">
        <v>40</v>
      </c>
      <c r="E6" s="4" t="s">
        <v>111</v>
      </c>
      <c r="F6" s="4" t="s">
        <v>112</v>
      </c>
      <c r="G6" s="4" t="s">
        <v>113</v>
      </c>
      <c r="H6" s="4" t="s">
        <v>114</v>
      </c>
      <c r="I6" s="4" t="s">
        <v>115</v>
      </c>
    </row>
    <row r="7" spans="1:9" x14ac:dyDescent="0.2">
      <c r="A7" s="13" t="s">
        <v>140</v>
      </c>
    </row>
    <row r="8" spans="1:9" x14ac:dyDescent="0.2">
      <c r="A8" t="s">
        <v>19</v>
      </c>
      <c r="B8" s="5">
        <f>'Historical Financials '!B4</f>
        <v>316199</v>
      </c>
      <c r="C8" s="5">
        <f>'Historical Financials '!C4</f>
        <v>298085</v>
      </c>
      <c r="D8" s="5">
        <f>'Historical Financials '!D4</f>
        <v>294866</v>
      </c>
      <c r="E8" s="28">
        <f>E10*(D8/D10)</f>
        <v>293718.28355463472</v>
      </c>
      <c r="F8" s="28">
        <f>F10*(E8/E10)</f>
        <v>292575.03440301976</v>
      </c>
      <c r="G8" s="28">
        <f>G10*(F8/F10)</f>
        <v>291436.23515696346</v>
      </c>
      <c r="H8" s="28">
        <f>H10*(G8/G10)</f>
        <v>290301.86849595484</v>
      </c>
      <c r="I8" s="28">
        <f>I10*(H8/H10)</f>
        <v>289171.91716690012</v>
      </c>
    </row>
    <row r="9" spans="1:9" x14ac:dyDescent="0.2">
      <c r="A9" t="s">
        <v>20</v>
      </c>
      <c r="B9" s="5">
        <f>'Historical Financials '!B5</f>
        <v>78129</v>
      </c>
      <c r="C9" s="5">
        <f>'Historical Financials '!C5</f>
        <v>85200</v>
      </c>
      <c r="D9" s="5">
        <f>'Historical Financials '!D5</f>
        <v>96169</v>
      </c>
      <c r="E9" s="28">
        <f>E10*(D9/D10)</f>
        <v>95794.67829850057</v>
      </c>
      <c r="F9" s="28">
        <f>F10*(E9/E10)</f>
        <v>95421.813581437033</v>
      </c>
      <c r="G9" s="28">
        <f>G10*(F9/F10)</f>
        <v>95050.400177741831</v>
      </c>
      <c r="H9" s="28">
        <f>H10*(G9/G10)</f>
        <v>94680.432438421136</v>
      </c>
      <c r="I9" s="28">
        <f>I10*(H9/H10)</f>
        <v>94311.90473646883</v>
      </c>
    </row>
    <row r="10" spans="1:9" x14ac:dyDescent="0.2">
      <c r="A10" s="13" t="s">
        <v>21</v>
      </c>
      <c r="B10" s="5">
        <f>'Historical Financials '!B6</f>
        <v>394328</v>
      </c>
      <c r="C10" s="5">
        <f>'Historical Financials '!C6</f>
        <v>383285</v>
      </c>
      <c r="D10" s="5">
        <f>'Historical Financials '!D6</f>
        <v>391035</v>
      </c>
      <c r="E10" s="28">
        <f>D10*(1+Assumptions!F5)</f>
        <v>389512.96185313532</v>
      </c>
      <c r="F10" s="28">
        <f>E10*(1+Assumptions!G5)</f>
        <v>387996.84798445681</v>
      </c>
      <c r="G10" s="28">
        <f>F10*(1+Assumptions!H5)</f>
        <v>386486.63533470529</v>
      </c>
      <c r="H10" s="28">
        <f>G10*(1+Assumptions!I5)</f>
        <v>384982.30093437596</v>
      </c>
      <c r="I10" s="28">
        <f>H10*(1+Assumptions!J5)</f>
        <v>383483.82190336892</v>
      </c>
    </row>
    <row r="11" spans="1:9" x14ac:dyDescent="0.2">
      <c r="B11" s="5"/>
      <c r="C11" s="5"/>
      <c r="D11" s="5"/>
      <c r="E11" s="28"/>
      <c r="F11" s="28"/>
      <c r="G11" s="28"/>
      <c r="H11" s="28"/>
      <c r="I11" s="28"/>
    </row>
    <row r="12" spans="1:9" x14ac:dyDescent="0.2">
      <c r="A12" s="13" t="s">
        <v>141</v>
      </c>
      <c r="B12" s="5"/>
      <c r="C12" s="5"/>
      <c r="D12" s="5"/>
      <c r="E12" s="28"/>
      <c r="F12" s="28"/>
      <c r="G12" s="28"/>
      <c r="H12" s="28"/>
      <c r="I12" s="28"/>
    </row>
    <row r="13" spans="1:9" x14ac:dyDescent="0.2">
      <c r="A13" t="s">
        <v>22</v>
      </c>
      <c r="B13" s="5">
        <f>'Historical Financials '!B7</f>
        <v>201471</v>
      </c>
      <c r="C13" s="5">
        <f>'Historical Financials '!C7</f>
        <v>189282</v>
      </c>
      <c r="D13" s="5">
        <f>'Historical Financials '!D7</f>
        <v>185233</v>
      </c>
      <c r="E13" s="28">
        <f>E15*(D13/D15)</f>
        <v>190196.58934603291</v>
      </c>
      <c r="F13" s="28">
        <f>F15*(E13/E15)</f>
        <v>189456.28102481304</v>
      </c>
      <c r="G13" s="28">
        <f>G15*(F13/F15)</f>
        <v>188718.85422955721</v>
      </c>
      <c r="H13" s="28">
        <f>H15*(G13/G15)</f>
        <v>187984.29774440889</v>
      </c>
      <c r="I13" s="28">
        <f>I15*(H13/H15)</f>
        <v>187252.60039716749</v>
      </c>
    </row>
    <row r="14" spans="1:9" x14ac:dyDescent="0.2">
      <c r="A14" t="s">
        <v>23</v>
      </c>
      <c r="B14" s="5">
        <f>'Historical Financials '!B8</f>
        <v>22075</v>
      </c>
      <c r="C14" s="5">
        <f>'Historical Financials '!C8</f>
        <v>24855</v>
      </c>
      <c r="D14" s="5">
        <f>'Historical Financials '!D8</f>
        <v>25119</v>
      </c>
      <c r="E14" s="28">
        <f>E15*(D14/D15)</f>
        <v>25792.100369712745</v>
      </c>
      <c r="F14" s="28">
        <f>F15*(E14/E15)</f>
        <v>25691.708945286635</v>
      </c>
      <c r="G14" s="28">
        <f>G15*(F14/F15)</f>
        <v>25591.70827764085</v>
      </c>
      <c r="H14" s="28">
        <f>H15*(G14/G15)</f>
        <v>25492.096845820168</v>
      </c>
      <c r="I14" s="28">
        <f>I15*(H14/H15)</f>
        <v>25392.873134789428</v>
      </c>
    </row>
    <row r="15" spans="1:9" x14ac:dyDescent="0.2">
      <c r="A15" s="13" t="s">
        <v>24</v>
      </c>
      <c r="B15" s="5">
        <f>'Historical Financials '!B9</f>
        <v>223546</v>
      </c>
      <c r="C15" s="5">
        <f>'Historical Financials '!C9</f>
        <v>214137</v>
      </c>
      <c r="D15" s="5">
        <f>'Historical Financials '!D9</f>
        <v>210352</v>
      </c>
      <c r="E15" s="28">
        <f>E10-E17</f>
        <v>215988.68971574566</v>
      </c>
      <c r="F15" s="28">
        <f>F10-F17</f>
        <v>215147.98997009968</v>
      </c>
      <c r="G15" s="28">
        <f>G10-G17</f>
        <v>214310.56250719805</v>
      </c>
      <c r="H15" s="28">
        <f>H10-H17</f>
        <v>213476.39459022906</v>
      </c>
      <c r="I15" s="28">
        <f>I10-I17</f>
        <v>212645.4735319569</v>
      </c>
    </row>
    <row r="16" spans="1:9" x14ac:dyDescent="0.2">
      <c r="B16" s="5"/>
      <c r="C16" s="5"/>
      <c r="D16" s="5"/>
      <c r="E16" s="28"/>
      <c r="F16" s="28"/>
      <c r="G16" s="28"/>
      <c r="H16" s="28"/>
      <c r="I16" s="28"/>
    </row>
    <row r="17" spans="1:9" x14ac:dyDescent="0.2">
      <c r="A17" s="13" t="s">
        <v>25</v>
      </c>
      <c r="B17" s="5">
        <f>'Historical Financials '!B10</f>
        <v>170782</v>
      </c>
      <c r="C17" s="5">
        <f>'Historical Financials '!C10</f>
        <v>169148</v>
      </c>
      <c r="D17" s="5">
        <f>'Historical Financials '!D10</f>
        <v>180683</v>
      </c>
      <c r="E17" s="28">
        <f>E10*Assumptions!F6</f>
        <v>173524.27213738966</v>
      </c>
      <c r="F17" s="28">
        <f>F10*Assumptions!G6</f>
        <v>172848.85801435713</v>
      </c>
      <c r="G17" s="28">
        <f>G10*Assumptions!H6</f>
        <v>172176.07282750725</v>
      </c>
      <c r="H17" s="28">
        <f>H10*Assumptions!I6</f>
        <v>171505.9063441469</v>
      </c>
      <c r="I17" s="28">
        <f>I10*Assumptions!J6</f>
        <v>170838.34837141202</v>
      </c>
    </row>
    <row r="18" spans="1:9" x14ac:dyDescent="0.2">
      <c r="B18" s="5"/>
      <c r="C18" s="5"/>
      <c r="D18" s="5"/>
      <c r="E18" s="28"/>
      <c r="F18" s="28"/>
      <c r="G18" s="28"/>
      <c r="H18" s="28"/>
      <c r="I18" s="28"/>
    </row>
    <row r="19" spans="1:9" x14ac:dyDescent="0.2">
      <c r="A19" s="13" t="s">
        <v>142</v>
      </c>
      <c r="B19" s="5"/>
      <c r="C19" s="5"/>
      <c r="D19" s="5"/>
      <c r="E19" s="28"/>
      <c r="F19" s="28"/>
      <c r="G19" s="28"/>
      <c r="H19" s="28"/>
      <c r="I19" s="28"/>
    </row>
    <row r="20" spans="1:9" x14ac:dyDescent="0.2">
      <c r="A20" t="s">
        <v>26</v>
      </c>
      <c r="B20" s="5">
        <f>'Historical Financials '!B11</f>
        <v>26251</v>
      </c>
      <c r="C20" s="5">
        <f>'Historical Financials '!C11</f>
        <v>29915</v>
      </c>
      <c r="D20" s="5">
        <f>'Historical Financials '!D11</f>
        <v>31370</v>
      </c>
      <c r="E20" s="28">
        <f>E10*Assumptions!F7</f>
        <v>29193.146440057739</v>
      </c>
      <c r="F20" s="28">
        <f>F10*Assumptions!G7</f>
        <v>29079.517014280576</v>
      </c>
      <c r="G20" s="28">
        <f>G10*Assumptions!H7</f>
        <v>28966.329871983507</v>
      </c>
      <c r="H20" s="28">
        <f>H10*Assumptions!I7</f>
        <v>28853.583291652274</v>
      </c>
      <c r="I20" s="28">
        <f>I10*Assumptions!J7</f>
        <v>28741.275558473324</v>
      </c>
    </row>
    <row r="21" spans="1:9" x14ac:dyDescent="0.2">
      <c r="A21" t="s">
        <v>27</v>
      </c>
      <c r="B21" s="5">
        <f>'Historical Financials '!B12</f>
        <v>25094</v>
      </c>
      <c r="C21" s="5">
        <f>'Historical Financials '!C12</f>
        <v>24932</v>
      </c>
      <c r="D21" s="5">
        <f>'Historical Financials '!D12</f>
        <v>26097</v>
      </c>
      <c r="E21" s="28">
        <f>E10*Assumptions!F8</f>
        <v>25373.374373719813</v>
      </c>
      <c r="F21" s="28">
        <f>F10*Assumptions!G8</f>
        <v>25274.612769997693</v>
      </c>
      <c r="G21" s="28">
        <f>G10*Assumptions!H8</f>
        <v>25176.235579252188</v>
      </c>
      <c r="H21" s="28">
        <f>H10*Assumptions!I8</f>
        <v>25078.241305220268</v>
      </c>
      <c r="I21" s="28">
        <f>I10*Assumptions!J8</f>
        <v>24980.628457462852</v>
      </c>
    </row>
    <row r="22" spans="1:9" x14ac:dyDescent="0.2">
      <c r="A22" s="13" t="s">
        <v>28</v>
      </c>
      <c r="B22" s="5">
        <f>'Historical Financials '!B13</f>
        <v>51345</v>
      </c>
      <c r="C22" s="5">
        <f>'Historical Financials '!C13</f>
        <v>54847</v>
      </c>
      <c r="D22" s="5">
        <f>'Historical Financials '!D13</f>
        <v>57467</v>
      </c>
      <c r="E22" s="28">
        <f>SUM(E20:E21)</f>
        <v>54566.520813777548</v>
      </c>
      <c r="F22" s="28">
        <f>SUM(F20:F21)</f>
        <v>54354.129784278266</v>
      </c>
      <c r="G22" s="28">
        <f>SUM(G20:G21)</f>
        <v>54142.5654512357</v>
      </c>
      <c r="H22" s="28">
        <f>SUM(H20:H21)</f>
        <v>53931.824596872539</v>
      </c>
      <c r="I22" s="28">
        <f>SUM(I20:I21)</f>
        <v>53721.904015936176</v>
      </c>
    </row>
    <row r="23" spans="1:9" x14ac:dyDescent="0.2">
      <c r="B23" s="5"/>
      <c r="C23" s="5"/>
      <c r="D23" s="5"/>
      <c r="E23" s="28"/>
      <c r="F23" s="28"/>
      <c r="G23" s="28"/>
      <c r="H23" s="28"/>
      <c r="I23" s="28"/>
    </row>
    <row r="24" spans="1:9" x14ac:dyDescent="0.2">
      <c r="A24" s="13" t="s">
        <v>29</v>
      </c>
      <c r="B24" s="5">
        <f>'Historical Financials '!B14</f>
        <v>119437</v>
      </c>
      <c r="C24" s="5">
        <f>'Historical Financials '!C14</f>
        <v>114301</v>
      </c>
      <c r="D24" s="5">
        <f>'Historical Financials '!D14</f>
        <v>123216</v>
      </c>
      <c r="E24" s="28">
        <f>E17-E22</f>
        <v>118957.75132361212</v>
      </c>
      <c r="F24" s="28">
        <f>F17-F22</f>
        <v>118494.72823007886</v>
      </c>
      <c r="G24" s="28">
        <f>G17-G22</f>
        <v>118033.50737627155</v>
      </c>
      <c r="H24" s="28">
        <f>H17-H22</f>
        <v>117574.08174727437</v>
      </c>
      <c r="I24" s="28">
        <f>I17-I22</f>
        <v>117116.44435547585</v>
      </c>
    </row>
    <row r="25" spans="1:9" x14ac:dyDescent="0.2">
      <c r="A25" t="s">
        <v>30</v>
      </c>
      <c r="B25" s="5">
        <f>'Historical Financials '!B15</f>
        <v>-334</v>
      </c>
      <c r="C25" s="5">
        <f>'Historical Financials '!C15</f>
        <v>-565</v>
      </c>
      <c r="D25" s="5">
        <f>'Historical Financials '!D15</f>
        <v>269</v>
      </c>
      <c r="E25" s="28">
        <f>E10*Assumptions!F9</f>
        <v>-212.04976024880582</v>
      </c>
      <c r="F25" s="28">
        <f>F10*Assumptions!G9</f>
        <v>-211.22439212540976</v>
      </c>
      <c r="G25" s="28">
        <f>G10*Assumptions!H9</f>
        <v>-210.40223660899008</v>
      </c>
      <c r="H25" s="28">
        <f>H10*Assumptions!I9</f>
        <v>-209.58328119501303</v>
      </c>
      <c r="I25" s="28">
        <f>I10*Assumptions!J9</f>
        <v>-208.76751342761659</v>
      </c>
    </row>
    <row r="26" spans="1:9" x14ac:dyDescent="0.2">
      <c r="A26" s="13" t="s">
        <v>31</v>
      </c>
      <c r="B26" s="5">
        <f>'Historical Financials '!B16</f>
        <v>119103</v>
      </c>
      <c r="C26" s="5">
        <f>'Historical Financials '!C16</f>
        <v>113736</v>
      </c>
      <c r="D26" s="5">
        <f>'Historical Financials '!D16</f>
        <v>123485</v>
      </c>
      <c r="E26" s="28">
        <f>SUM(E24:E25)</f>
        <v>118745.70156336331</v>
      </c>
      <c r="F26" s="28">
        <f>SUM(F24:F25)</f>
        <v>118283.50383795345</v>
      </c>
      <c r="G26" s="28">
        <f>SUM(G24:G25)</f>
        <v>117823.10513966256</v>
      </c>
      <c r="H26" s="28">
        <f>SUM(H24:H25)</f>
        <v>117364.49846607936</v>
      </c>
      <c r="I26" s="28">
        <f>SUM(I24:I25)</f>
        <v>116907.67684204823</v>
      </c>
    </row>
    <row r="27" spans="1:9" x14ac:dyDescent="0.2">
      <c r="A27" t="s">
        <v>32</v>
      </c>
      <c r="B27" s="5">
        <f>'Historical Financials '!B17</f>
        <v>19300</v>
      </c>
      <c r="C27" s="5">
        <f>'Historical Financials '!C17</f>
        <v>16741</v>
      </c>
      <c r="D27" s="5">
        <f>'Historical Financials '!D17</f>
        <v>29749</v>
      </c>
      <c r="E27" s="28">
        <f>E26*Assumptions!F10</f>
        <v>21775.911750432868</v>
      </c>
      <c r="F27" s="28">
        <f>F26*Assumptions!G10</f>
        <v>21691.152666548005</v>
      </c>
      <c r="G27" s="28">
        <f>G26*Assumptions!H10</f>
        <v>21606.723493180016</v>
      </c>
      <c r="H27" s="28">
        <f>H26*Assumptions!I10</f>
        <v>21522.622946207557</v>
      </c>
      <c r="I27" s="28">
        <f>I26*Assumptions!J10</f>
        <v>21438.849746507498</v>
      </c>
    </row>
    <row r="28" spans="1:9" x14ac:dyDescent="0.2">
      <c r="A28" s="13" t="s">
        <v>33</v>
      </c>
      <c r="B28" s="5">
        <f>'Historical Financials '!B18</f>
        <v>99803</v>
      </c>
      <c r="C28" s="5">
        <f>'Historical Financials '!C18</f>
        <v>96995</v>
      </c>
      <c r="D28" s="5">
        <f>'Historical Financials '!D18</f>
        <v>93736</v>
      </c>
      <c r="E28" s="28">
        <f>E26-E27</f>
        <v>96969.789812930452</v>
      </c>
      <c r="F28" s="28">
        <f>F26-F27</f>
        <v>96592.351171405448</v>
      </c>
      <c r="G28" s="28">
        <f>G26-G27</f>
        <v>96216.381646482536</v>
      </c>
      <c r="H28" s="28">
        <f>H26-H27</f>
        <v>95841.875519871799</v>
      </c>
      <c r="I28" s="28">
        <f>I26-I27</f>
        <v>95468.827095540735</v>
      </c>
    </row>
    <row r="29" spans="1:9" x14ac:dyDescent="0.2">
      <c r="B29" s="5"/>
      <c r="C29" s="5"/>
      <c r="D29" s="5"/>
      <c r="E29" s="27"/>
      <c r="F29" s="27"/>
      <c r="G29" s="27"/>
      <c r="H29" s="27"/>
      <c r="I29" s="27"/>
    </row>
    <row r="30" spans="1:9" x14ac:dyDescent="0.2">
      <c r="A30" t="s">
        <v>34</v>
      </c>
      <c r="B30" s="26">
        <f>'Historical Financials '!B19</f>
        <v>6.15</v>
      </c>
      <c r="C30" s="26">
        <f>'Historical Financials '!C19</f>
        <v>6.16</v>
      </c>
      <c r="D30" s="26">
        <f>'Historical Financials '!D19</f>
        <v>6.11</v>
      </c>
      <c r="E30" s="29">
        <f>E28*1000/E32</f>
        <v>6.3198097765675163</v>
      </c>
      <c r="F30" s="29">
        <f>F28*1000/F32</f>
        <v>6.2952109770716547</v>
      </c>
      <c r="G30" s="29">
        <f>G28*1000/G32</f>
        <v>6.2707079242767279</v>
      </c>
      <c r="H30" s="29">
        <f>H28*1000/H32</f>
        <v>6.2463002455047629</v>
      </c>
      <c r="I30" s="29">
        <f>I28*1000/I32</f>
        <v>6.2219875695283706</v>
      </c>
    </row>
    <row r="31" spans="1:9" x14ac:dyDescent="0.2">
      <c r="A31" t="s">
        <v>35</v>
      </c>
      <c r="B31" s="26">
        <f>'Historical Financials '!B20</f>
        <v>6.11</v>
      </c>
      <c r="C31" s="26">
        <f>'Historical Financials '!C20</f>
        <v>6.13</v>
      </c>
      <c r="D31" s="26">
        <f>'Historical Financials '!D20</f>
        <v>6.08</v>
      </c>
      <c r="E31" s="29">
        <f>E28*1000/E33</f>
        <v>6.293431460081889</v>
      </c>
      <c r="F31" s="29">
        <f>F28*1000/F33</f>
        <v>6.268935333758356</v>
      </c>
      <c r="G31" s="29">
        <f>G28*1000/G33</f>
        <v>6.2445345544976547</v>
      </c>
      <c r="H31" s="29">
        <f>H28*1000/H33</f>
        <v>6.2202287511773386</v>
      </c>
      <c r="I31" s="29">
        <f>I28*1000/I33</f>
        <v>6.1960175541194893</v>
      </c>
    </row>
    <row r="32" spans="1:9" x14ac:dyDescent="0.2">
      <c r="A32" t="s">
        <v>36</v>
      </c>
      <c r="B32" s="5">
        <f>'Historical Financials '!B21</f>
        <v>16215963</v>
      </c>
      <c r="C32" s="5">
        <f>'Historical Financials '!C21</f>
        <v>15744231</v>
      </c>
      <c r="D32" s="5">
        <f>'Historical Financials '!D21</f>
        <v>15343783</v>
      </c>
      <c r="E32" s="30">
        <f>D32</f>
        <v>15343783</v>
      </c>
      <c r="F32" s="30">
        <f>E32</f>
        <v>15343783</v>
      </c>
      <c r="G32" s="30">
        <f>F32</f>
        <v>15343783</v>
      </c>
      <c r="H32" s="30">
        <f>G32</f>
        <v>15343783</v>
      </c>
      <c r="I32" s="30">
        <f>H32</f>
        <v>15343783</v>
      </c>
    </row>
    <row r="33" spans="1:9" x14ac:dyDescent="0.2">
      <c r="A33" t="s">
        <v>37</v>
      </c>
      <c r="B33" s="5">
        <f>'Historical Financials '!B22</f>
        <v>16325819</v>
      </c>
      <c r="C33" s="5">
        <f>'Historical Financials '!C22</f>
        <v>15812547</v>
      </c>
      <c r="D33" s="5">
        <f>'Historical Financials '!D22</f>
        <v>15408095</v>
      </c>
      <c r="E33" s="30">
        <f>D33</f>
        <v>15408095</v>
      </c>
      <c r="F33" s="30">
        <f>E33</f>
        <v>15408095</v>
      </c>
      <c r="G33" s="30">
        <f>F33</f>
        <v>15408095</v>
      </c>
      <c r="H33" s="30">
        <f>G33</f>
        <v>15408095</v>
      </c>
      <c r="I33" s="30">
        <f>H33</f>
        <v>15408095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2CB2-B077-6F42-8596-686DAC47E74E}">
  <dimension ref="A1:I41"/>
  <sheetViews>
    <sheetView topLeftCell="A14" zoomScale="93" workbookViewId="0">
      <selection activeCell="K39" sqref="K39"/>
    </sheetView>
  </sheetViews>
  <sheetFormatPr baseColWidth="10" defaultRowHeight="16" x14ac:dyDescent="0.2"/>
  <cols>
    <col min="1" max="1" width="37.33203125" customWidth="1"/>
    <col min="5" max="5" width="10.83203125" style="31"/>
  </cols>
  <sheetData>
    <row r="1" spans="1:9" s="33" customFormat="1" ht="19" x14ac:dyDescent="0.25">
      <c r="A1" s="32" t="s">
        <v>10</v>
      </c>
      <c r="E1" s="34"/>
    </row>
    <row r="2" spans="1:9" s="33" customFormat="1" ht="19" x14ac:dyDescent="0.25">
      <c r="A2" s="32" t="s">
        <v>143</v>
      </c>
      <c r="E2" s="34"/>
    </row>
    <row r="3" spans="1:9" s="33" customFormat="1" ht="19" x14ac:dyDescent="0.25">
      <c r="A3" s="32" t="s">
        <v>144</v>
      </c>
      <c r="E3" s="34"/>
    </row>
    <row r="4" spans="1:9" s="33" customFormat="1" ht="19" x14ac:dyDescent="0.25">
      <c r="A4" s="32" t="s">
        <v>145</v>
      </c>
      <c r="E4" s="34"/>
    </row>
    <row r="6" spans="1:9" x14ac:dyDescent="0.2">
      <c r="A6" s="4"/>
      <c r="B6" s="4" t="s">
        <v>38</v>
      </c>
      <c r="C6" s="4" t="s">
        <v>39</v>
      </c>
      <c r="D6" s="4" t="s">
        <v>40</v>
      </c>
      <c r="E6" s="35" t="s">
        <v>111</v>
      </c>
      <c r="F6" s="4" t="s">
        <v>112</v>
      </c>
      <c r="G6" s="4" t="s">
        <v>113</v>
      </c>
      <c r="H6" s="4" t="s">
        <v>114</v>
      </c>
      <c r="I6" s="4" t="s">
        <v>115</v>
      </c>
    </row>
    <row r="7" spans="1:9" x14ac:dyDescent="0.2">
      <c r="A7" s="1" t="s">
        <v>146</v>
      </c>
    </row>
    <row r="8" spans="1:9" x14ac:dyDescent="0.2">
      <c r="A8" s="1" t="s">
        <v>147</v>
      </c>
    </row>
    <row r="9" spans="1:9" x14ac:dyDescent="0.2">
      <c r="A9" t="s">
        <v>52</v>
      </c>
      <c r="C9">
        <f>'Historical Financials '!C25</f>
        <v>29965</v>
      </c>
      <c r="D9">
        <f>'Historical Financials '!D25</f>
        <v>29943</v>
      </c>
      <c r="E9" s="28">
        <f>'Cash Flow'!B31</f>
        <v>27480.876678794477</v>
      </c>
      <c r="F9" s="28">
        <f>'Cash Flow'!C31</f>
        <v>35340.136422572279</v>
      </c>
      <c r="G9" s="28">
        <f>'Cash Flow'!D31</f>
        <v>38358.911818011766</v>
      </c>
      <c r="H9" s="28">
        <f>'Cash Flow'!E31</f>
        <v>44167.232075762513</v>
      </c>
      <c r="I9" s="28">
        <f>'Cash Flow'!F31</f>
        <v>49683.524496121972</v>
      </c>
    </row>
    <row r="10" spans="1:9" x14ac:dyDescent="0.2">
      <c r="A10" t="s">
        <v>53</v>
      </c>
      <c r="C10">
        <f>'Historical Financials '!C26</f>
        <v>31590</v>
      </c>
      <c r="D10">
        <f>'Historical Financials '!D26</f>
        <v>35228</v>
      </c>
      <c r="E10" s="28">
        <f>D10</f>
        <v>35228</v>
      </c>
      <c r="F10" s="28">
        <f>E10</f>
        <v>35228</v>
      </c>
      <c r="G10" s="28">
        <f>F10</f>
        <v>35228</v>
      </c>
      <c r="H10" s="28">
        <f>G10</f>
        <v>35228</v>
      </c>
      <c r="I10" s="28">
        <f>H10</f>
        <v>35228</v>
      </c>
    </row>
    <row r="11" spans="1:9" x14ac:dyDescent="0.2">
      <c r="A11" t="s">
        <v>54</v>
      </c>
      <c r="C11">
        <f>'Historical Financials '!C27</f>
        <v>29508</v>
      </c>
      <c r="D11">
        <f>'Historical Financials '!D27</f>
        <v>33410</v>
      </c>
      <c r="E11" s="28">
        <f>'Income Statement'!E10*Assumptions!F14</f>
        <v>31633.714945455555</v>
      </c>
      <c r="F11" s="28">
        <f>'Income Statement'!F10*Assumptions!G14</f>
        <v>32057.197520089911</v>
      </c>
      <c r="G11" s="28">
        <f>'Income Statement'!G10*Assumptions!H14</f>
        <v>31569.430982318143</v>
      </c>
      <c r="H11" s="28">
        <f>'Income Statement'!H10*Assumptions!I14</f>
        <v>31506.815000666786</v>
      </c>
      <c r="I11" s="28">
        <f>'Income Statement'!I10*Assumptions!J14</f>
        <v>31464.217568819862</v>
      </c>
    </row>
    <row r="12" spans="1:9" x14ac:dyDescent="0.2">
      <c r="A12" t="s">
        <v>55</v>
      </c>
      <c r="C12">
        <f>'Historical Financials '!C28</f>
        <v>31477</v>
      </c>
      <c r="D12">
        <f>'Historical Financials '!D28</f>
        <v>32833</v>
      </c>
      <c r="E12" s="28">
        <f>D12</f>
        <v>32833</v>
      </c>
      <c r="F12" s="28">
        <f>E12</f>
        <v>32833</v>
      </c>
      <c r="G12" s="28">
        <f>F12</f>
        <v>32833</v>
      </c>
      <c r="H12" s="28">
        <f>G12</f>
        <v>32833</v>
      </c>
      <c r="I12" s="28">
        <f>H12</f>
        <v>32833</v>
      </c>
    </row>
    <row r="13" spans="1:9" x14ac:dyDescent="0.2">
      <c r="A13" t="s">
        <v>56</v>
      </c>
      <c r="C13">
        <f>'Historical Financials '!C29</f>
        <v>6331</v>
      </c>
      <c r="D13">
        <f>'Historical Financials '!D29</f>
        <v>7286</v>
      </c>
      <c r="E13" s="28">
        <f>'Income Statement'!E10*Assumptions!F15</f>
        <v>6845.7561448190381</v>
      </c>
      <c r="F13" s="28">
        <f>'Income Statement'!F10*Assumptions!G15</f>
        <v>6955.8705645277123</v>
      </c>
      <c r="G13" s="28">
        <f>'Income Statement'!G10*Assumptions!H15</f>
        <v>6837.977298175575</v>
      </c>
      <c r="H13" s="28">
        <f>'Income Statement'!H10*Assumptions!I15</f>
        <v>6826.4391535748964</v>
      </c>
      <c r="I13" s="28">
        <f>'Income Statement'!I10*Assumptions!J15</f>
        <v>6819.8935152510621</v>
      </c>
    </row>
    <row r="14" spans="1:9" x14ac:dyDescent="0.2">
      <c r="A14" s="15" t="s">
        <v>57</v>
      </c>
      <c r="C14">
        <f>'Historical Financials '!C30</f>
        <v>14695</v>
      </c>
      <c r="D14">
        <f>'Historical Financials '!D30</f>
        <v>14287</v>
      </c>
      <c r="E14" s="28">
        <f>'Income Statement'!E10*Assumptions!F16</f>
        <v>14582.58395971438</v>
      </c>
      <c r="F14" s="28">
        <f>'Income Statement'!F10*Assumptions!G16</f>
        <v>14409.214781622</v>
      </c>
      <c r="G14" s="28">
        <f>'Income Statement'!G10*Assumptions!H16</f>
        <v>14430.566020299395</v>
      </c>
      <c r="H14" s="28">
        <f>'Income Statement'!H10*Assumptions!I16</f>
        <v>14361.54158243317</v>
      </c>
      <c r="I14" s="28">
        <f>'Income Statement'!I10*Assumptions!J16</f>
        <v>14288.567236370545</v>
      </c>
    </row>
    <row r="15" spans="1:9" x14ac:dyDescent="0.2">
      <c r="A15" s="1" t="s">
        <v>58</v>
      </c>
      <c r="C15" s="1">
        <f>'Historical Financials '!C31</f>
        <v>143566</v>
      </c>
      <c r="D15" s="1">
        <f>'Historical Financials '!D31</f>
        <v>152987</v>
      </c>
      <c r="E15" s="28">
        <f>SUM(E9:E14)</f>
        <v>148603.93172878344</v>
      </c>
      <c r="F15" s="28">
        <f>SUM(F9:F14)</f>
        <v>156823.41928881191</v>
      </c>
      <c r="G15" s="28">
        <f>SUM(G9:G14)</f>
        <v>159257.88611880486</v>
      </c>
      <c r="H15" s="28">
        <f>SUM(H9:H14)</f>
        <v>164923.02781243736</v>
      </c>
      <c r="I15" s="28">
        <f>SUM(I9:I14)</f>
        <v>170317.20281656345</v>
      </c>
    </row>
    <row r="16" spans="1:9" x14ac:dyDescent="0.2">
      <c r="E16" s="27"/>
      <c r="F16" s="27"/>
      <c r="G16" s="27"/>
      <c r="H16" s="27"/>
      <c r="I16" s="27"/>
    </row>
    <row r="17" spans="1:9" x14ac:dyDescent="0.2">
      <c r="A17" t="s">
        <v>59</v>
      </c>
      <c r="C17">
        <f>'Historical Financials '!C32</f>
        <v>100544</v>
      </c>
      <c r="D17">
        <f>'Historical Financials '!D32</f>
        <v>91479</v>
      </c>
      <c r="E17" s="28">
        <f>D17</f>
        <v>91479</v>
      </c>
      <c r="F17" s="28">
        <f>E17</f>
        <v>91479</v>
      </c>
      <c r="G17" s="28">
        <f>F17</f>
        <v>91479</v>
      </c>
      <c r="H17" s="28">
        <f>G17</f>
        <v>91479</v>
      </c>
      <c r="I17" s="28">
        <f>H17</f>
        <v>91479</v>
      </c>
    </row>
    <row r="18" spans="1:9" x14ac:dyDescent="0.2">
      <c r="A18" t="s">
        <v>60</v>
      </c>
      <c r="C18">
        <f>'Historical Financials '!C33</f>
        <v>43715</v>
      </c>
      <c r="D18">
        <f>'Historical Financials '!D33</f>
        <v>45680</v>
      </c>
      <c r="E18" s="28">
        <f>D18</f>
        <v>45680</v>
      </c>
      <c r="F18" s="28">
        <f>E18</f>
        <v>45680</v>
      </c>
      <c r="G18" s="28">
        <f>F18</f>
        <v>45680</v>
      </c>
      <c r="H18" s="28">
        <f>G18</f>
        <v>45680</v>
      </c>
      <c r="I18" s="28">
        <f>H18</f>
        <v>45680</v>
      </c>
    </row>
    <row r="19" spans="1:9" x14ac:dyDescent="0.2">
      <c r="A19" t="s">
        <v>61</v>
      </c>
      <c r="C19">
        <f>'Historical Financials '!C34</f>
        <v>64758</v>
      </c>
      <c r="D19">
        <f>'Historical Financials '!D34</f>
        <v>74834</v>
      </c>
      <c r="E19" s="28">
        <f>D19</f>
        <v>74834</v>
      </c>
      <c r="F19" s="28">
        <f>E19</f>
        <v>74834</v>
      </c>
      <c r="G19" s="28">
        <f>F19</f>
        <v>74834</v>
      </c>
      <c r="H19" s="28">
        <f>G19</f>
        <v>74834</v>
      </c>
      <c r="I19" s="28">
        <f>H19</f>
        <v>74834</v>
      </c>
    </row>
    <row r="20" spans="1:9" x14ac:dyDescent="0.2">
      <c r="A20" s="1" t="s">
        <v>62</v>
      </c>
      <c r="C20" s="1">
        <f>'Historical Financials '!C35</f>
        <v>209017</v>
      </c>
      <c r="D20" s="1">
        <f>'Historical Financials '!D35</f>
        <v>211993</v>
      </c>
      <c r="E20" s="28">
        <f>SUM(E17:E19)</f>
        <v>211993</v>
      </c>
      <c r="F20" s="28">
        <f>SUM(F17:F19)</f>
        <v>211993</v>
      </c>
      <c r="G20" s="28">
        <f>SUM(G17:G19)</f>
        <v>211993</v>
      </c>
      <c r="H20" s="28">
        <f>SUM(H17:H19)</f>
        <v>211993</v>
      </c>
      <c r="I20" s="28">
        <f>SUM(I17:I19)</f>
        <v>211993</v>
      </c>
    </row>
    <row r="21" spans="1:9" x14ac:dyDescent="0.2">
      <c r="A21" s="1" t="s">
        <v>63</v>
      </c>
      <c r="C21" s="1">
        <f>'Historical Financials '!C36</f>
        <v>352583</v>
      </c>
      <c r="D21" s="1">
        <f>'Historical Financials '!D36</f>
        <v>364980</v>
      </c>
      <c r="E21" s="28">
        <f>E15+E20</f>
        <v>360596.93172878341</v>
      </c>
      <c r="F21" s="28">
        <f>F15+F20</f>
        <v>368816.41928881191</v>
      </c>
      <c r="G21" s="28">
        <f>G15+G20</f>
        <v>371250.88611880486</v>
      </c>
      <c r="H21" s="28">
        <f>H15+H20</f>
        <v>376916.02781243739</v>
      </c>
      <c r="I21" s="28">
        <f>I15+I20</f>
        <v>382310.20281656343</v>
      </c>
    </row>
    <row r="22" spans="1:9" x14ac:dyDescent="0.2">
      <c r="E22" s="27"/>
      <c r="F22" s="27"/>
      <c r="G22" s="27"/>
      <c r="H22" s="27"/>
      <c r="I22" s="27"/>
    </row>
    <row r="23" spans="1:9" x14ac:dyDescent="0.2">
      <c r="A23" s="1" t="s">
        <v>148</v>
      </c>
      <c r="E23" s="27"/>
      <c r="F23" s="27"/>
      <c r="G23" s="27"/>
      <c r="H23" s="27"/>
      <c r="I23" s="27"/>
    </row>
    <row r="24" spans="1:9" x14ac:dyDescent="0.2">
      <c r="A24" t="s">
        <v>64</v>
      </c>
      <c r="C24">
        <f>'Historical Financials '!C38</f>
        <v>62611</v>
      </c>
      <c r="D24">
        <f>'Historical Financials '!D38</f>
        <v>68960</v>
      </c>
      <c r="E24" s="28">
        <f>'Income Statement'!E15*Assumptions!F17</f>
        <v>66980.147606503146</v>
      </c>
      <c r="F24" s="28">
        <f>'Income Statement'!F15*Assumptions!G17</f>
        <v>67990.384517749379</v>
      </c>
      <c r="G24" s="28">
        <f>'Income Statement'!G15*Assumptions!H17</f>
        <v>66881.744045721309</v>
      </c>
      <c r="H24" s="28">
        <f>'Income Statement'!H15*Assumptions!I17</f>
        <v>66761.537105331168</v>
      </c>
      <c r="I24" s="28">
        <f>'Income Statement'!I15*Assumptions!J17</f>
        <v>66687.777207143808</v>
      </c>
    </row>
    <row r="25" spans="1:9" x14ac:dyDescent="0.2">
      <c r="A25" t="s">
        <v>65</v>
      </c>
      <c r="C25">
        <f>'Historical Financials '!C39</f>
        <v>58829</v>
      </c>
      <c r="D25">
        <f>'Historical Financials '!D39</f>
        <v>78304</v>
      </c>
      <c r="E25" s="28">
        <f>'Income Statement'!E10*Assumptions!F18</f>
        <v>68892.060846360298</v>
      </c>
      <c r="F25" s="28">
        <f>'Income Statement'!F10*Assumptions!G18</f>
        <v>71647.812021463847</v>
      </c>
      <c r="G25" s="28">
        <f>'Income Statement'!G10*Assumptions!H18</f>
        <v>69360.846974362474</v>
      </c>
      <c r="H25" s="28">
        <f>'Income Statement'!H10*Assumptions!I18</f>
        <v>69424.250147020473</v>
      </c>
      <c r="I25" s="28">
        <f>'Income Statement'!I10*Assumptions!J18</f>
        <v>69596.802584638921</v>
      </c>
    </row>
    <row r="26" spans="1:9" x14ac:dyDescent="0.2">
      <c r="A26" t="s">
        <v>66</v>
      </c>
      <c r="C26">
        <f>'Historical Financials '!C40</f>
        <v>8061</v>
      </c>
      <c r="D26">
        <f>'Historical Financials '!D40</f>
        <v>8249</v>
      </c>
      <c r="E26" s="28">
        <f>'Income Statement'!E10*Assumptions!F19</f>
        <v>8204.4372903364274</v>
      </c>
      <c r="F26" s="28">
        <f>'Income Statement'!F10*Assumptions!G19</f>
        <v>8176.6383551500439</v>
      </c>
      <c r="G26" s="28">
        <f>'Income Statement'!G10*Assumptions!H19</f>
        <v>8142.0659190692941</v>
      </c>
      <c r="H26" s="28">
        <f>'Income Statement'!H10*Assumptions!I19</f>
        <v>8110.8302187816898</v>
      </c>
      <c r="I26" s="28">
        <f>'Income Statement'!I10*Assumptions!J19</f>
        <v>8079.8657072612996</v>
      </c>
    </row>
    <row r="27" spans="1:9" x14ac:dyDescent="0.2">
      <c r="A27" t="s">
        <v>67</v>
      </c>
      <c r="C27">
        <f>'Historical Financials '!C41</f>
        <v>5985</v>
      </c>
      <c r="D27">
        <f>'Historical Financials '!D41</f>
        <v>9967</v>
      </c>
      <c r="E27" s="28">
        <f>D27</f>
        <v>9967</v>
      </c>
      <c r="F27" s="28">
        <f>E27</f>
        <v>9967</v>
      </c>
      <c r="G27" s="28">
        <f>F27</f>
        <v>9967</v>
      </c>
      <c r="H27" s="28">
        <f>G27</f>
        <v>9967</v>
      </c>
      <c r="I27" s="28">
        <f>H27</f>
        <v>9967</v>
      </c>
    </row>
    <row r="28" spans="1:9" x14ac:dyDescent="0.2">
      <c r="A28" t="s">
        <v>68</v>
      </c>
      <c r="C28">
        <f>'Historical Financials '!C42</f>
        <v>9822</v>
      </c>
      <c r="D28">
        <f>'Historical Financials '!D42</f>
        <v>10912</v>
      </c>
      <c r="E28" s="28">
        <f>D28</f>
        <v>10912</v>
      </c>
      <c r="F28" s="28">
        <f>E28</f>
        <v>10912</v>
      </c>
      <c r="G28" s="28">
        <f>F28</f>
        <v>10912</v>
      </c>
      <c r="H28" s="28">
        <f>G28</f>
        <v>10912</v>
      </c>
      <c r="I28" s="28">
        <f>H28</f>
        <v>10912</v>
      </c>
    </row>
    <row r="29" spans="1:9" x14ac:dyDescent="0.2">
      <c r="A29" s="1" t="s">
        <v>69</v>
      </c>
      <c r="C29" s="1">
        <f>'Historical Financials '!C43</f>
        <v>145308</v>
      </c>
      <c r="D29" s="1">
        <f>'Historical Financials '!D43</f>
        <v>176392</v>
      </c>
      <c r="E29" s="28">
        <f>SUM(E24:E28)</f>
        <v>164955.64574319986</v>
      </c>
      <c r="F29" s="28">
        <f>SUM(F24:F28)</f>
        <v>168693.83489436327</v>
      </c>
      <c r="G29" s="28">
        <f>SUM(G24:G28)</f>
        <v>165263.65693915306</v>
      </c>
      <c r="H29" s="28">
        <f>SUM(H24:H28)</f>
        <v>165175.61747113333</v>
      </c>
      <c r="I29" s="28">
        <f>SUM(I24:I28)</f>
        <v>165243.44549904403</v>
      </c>
    </row>
    <row r="30" spans="1:9" x14ac:dyDescent="0.2">
      <c r="E30" s="27"/>
      <c r="F30" s="27"/>
      <c r="G30" s="27"/>
      <c r="H30" s="27"/>
      <c r="I30" s="27"/>
    </row>
    <row r="31" spans="1:9" x14ac:dyDescent="0.2">
      <c r="A31" t="s">
        <v>70</v>
      </c>
      <c r="C31">
        <f>'Historical Financials '!C44</f>
        <v>95281</v>
      </c>
      <c r="D31">
        <f>'Historical Financials '!D44</f>
        <v>85750</v>
      </c>
      <c r="E31" s="28">
        <f>D31</f>
        <v>85750</v>
      </c>
      <c r="F31" s="28">
        <f>E31</f>
        <v>85750</v>
      </c>
      <c r="G31" s="28">
        <f>F31</f>
        <v>85750</v>
      </c>
      <c r="H31" s="28">
        <f>G31</f>
        <v>85750</v>
      </c>
      <c r="I31" s="28">
        <f>H31</f>
        <v>85750</v>
      </c>
    </row>
    <row r="32" spans="1:9" x14ac:dyDescent="0.2">
      <c r="A32" t="s">
        <v>71</v>
      </c>
      <c r="C32">
        <f>'Historical Financials '!C45</f>
        <v>49848</v>
      </c>
      <c r="D32">
        <f>'Historical Financials '!D45</f>
        <v>45888</v>
      </c>
      <c r="E32" s="28">
        <f>D32</f>
        <v>45888</v>
      </c>
      <c r="F32" s="28">
        <f>E32</f>
        <v>45888</v>
      </c>
      <c r="G32" s="28">
        <f>F32</f>
        <v>45888</v>
      </c>
      <c r="H32" s="28">
        <f>G32</f>
        <v>45888</v>
      </c>
      <c r="I32" s="28">
        <f>H32</f>
        <v>45888</v>
      </c>
    </row>
    <row r="33" spans="1:9" x14ac:dyDescent="0.2">
      <c r="A33" s="1" t="s">
        <v>72</v>
      </c>
      <c r="C33" s="1">
        <f>'Historical Financials '!C46</f>
        <v>145129</v>
      </c>
      <c r="D33" s="1">
        <f>'Historical Financials '!D46</f>
        <v>131638</v>
      </c>
      <c r="E33" s="28">
        <f>SUM(E31:E32)</f>
        <v>131638</v>
      </c>
      <c r="F33" s="28">
        <f>SUM(F31:F32)</f>
        <v>131638</v>
      </c>
      <c r="G33" s="28">
        <f>SUM(G31:G32)</f>
        <v>131638</v>
      </c>
      <c r="H33" s="28">
        <f>SUM(H31:H32)</f>
        <v>131638</v>
      </c>
      <c r="I33" s="28">
        <f>SUM(I31:I32)</f>
        <v>131638</v>
      </c>
    </row>
    <row r="34" spans="1:9" x14ac:dyDescent="0.2">
      <c r="A34" s="1" t="s">
        <v>73</v>
      </c>
      <c r="C34" s="1">
        <f>'Historical Financials '!C47</f>
        <v>290437</v>
      </c>
      <c r="D34" s="1">
        <f>'Historical Financials '!D47</f>
        <v>308030</v>
      </c>
      <c r="E34" s="28">
        <f>E29+E33</f>
        <v>296593.64574319986</v>
      </c>
      <c r="F34" s="28">
        <f>F29+F33</f>
        <v>300331.8348943633</v>
      </c>
      <c r="G34" s="28">
        <f>G29+G33</f>
        <v>296901.65693915309</v>
      </c>
      <c r="H34" s="28">
        <f>H29+H33</f>
        <v>296813.61747113336</v>
      </c>
      <c r="I34" s="28">
        <f>I29+I33</f>
        <v>296881.44549904403</v>
      </c>
    </row>
    <row r="35" spans="1:9" x14ac:dyDescent="0.2">
      <c r="A35" s="15"/>
      <c r="E35" s="27"/>
      <c r="F35" s="27"/>
      <c r="G35" s="27"/>
      <c r="H35" s="27"/>
      <c r="I35" s="27"/>
    </row>
    <row r="36" spans="1:9" x14ac:dyDescent="0.2">
      <c r="A36" s="1" t="s">
        <v>149</v>
      </c>
      <c r="E36" s="27"/>
      <c r="F36" s="27"/>
      <c r="G36" s="27"/>
      <c r="H36" s="27"/>
      <c r="I36" s="27"/>
    </row>
    <row r="37" spans="1:9" x14ac:dyDescent="0.2">
      <c r="A37" t="s">
        <v>74</v>
      </c>
      <c r="C37">
        <f>'Historical Financials '!C49</f>
        <v>73812</v>
      </c>
      <c r="D37">
        <f>'Historical Financials '!D49</f>
        <v>83276</v>
      </c>
      <c r="E37" s="28">
        <f>D37</f>
        <v>83276</v>
      </c>
      <c r="F37" s="28">
        <f>E37</f>
        <v>83276</v>
      </c>
      <c r="G37" s="28">
        <f>F37</f>
        <v>83276</v>
      </c>
      <c r="H37" s="28">
        <f>G37</f>
        <v>83276</v>
      </c>
      <c r="I37" s="28">
        <f>H37</f>
        <v>83276</v>
      </c>
    </row>
    <row r="38" spans="1:9" x14ac:dyDescent="0.2">
      <c r="A38" t="s">
        <v>75</v>
      </c>
      <c r="C38">
        <f>'Historical Financials '!C50</f>
        <v>-214</v>
      </c>
      <c r="D38">
        <f>'Historical Financials '!D50</f>
        <v>-19154</v>
      </c>
      <c r="E38" s="28">
        <f>E40-E37-E39</f>
        <v>-12100.714014416444</v>
      </c>
      <c r="F38" s="28">
        <f>F40-F37-F39</f>
        <v>-7619.4156055513886</v>
      </c>
      <c r="G38" s="28">
        <f>G40-G37-G39</f>
        <v>-1754.7708203482325</v>
      </c>
      <c r="H38" s="28">
        <f>H40-H37-H39</f>
        <v>3998.4103413040284</v>
      </c>
      <c r="I38" s="28">
        <f>I40-I37-I39</f>
        <v>9324.7573175193975</v>
      </c>
    </row>
    <row r="39" spans="1:9" x14ac:dyDescent="0.2">
      <c r="A39" t="s">
        <v>76</v>
      </c>
      <c r="C39">
        <f>'Historical Financials '!C51</f>
        <v>-11452</v>
      </c>
      <c r="D39">
        <f>'Historical Financials '!D51</f>
        <v>-7172</v>
      </c>
      <c r="E39" s="28">
        <f>D39</f>
        <v>-7172</v>
      </c>
      <c r="F39" s="28">
        <f>E39</f>
        <v>-7172</v>
      </c>
      <c r="G39" s="28">
        <f>F39</f>
        <v>-7172</v>
      </c>
      <c r="H39" s="28">
        <f>G39</f>
        <v>-7172</v>
      </c>
      <c r="I39" s="28">
        <f>H39</f>
        <v>-7172</v>
      </c>
    </row>
    <row r="40" spans="1:9" x14ac:dyDescent="0.2">
      <c r="A40" s="1" t="s">
        <v>150</v>
      </c>
      <c r="C40" s="1">
        <f>'Historical Financials '!C52</f>
        <v>62146</v>
      </c>
      <c r="D40" s="1">
        <f>'Historical Financials '!D52</f>
        <v>56950</v>
      </c>
      <c r="E40" s="28">
        <f>E21-E34</f>
        <v>64003.285985583556</v>
      </c>
      <c r="F40" s="28">
        <f>F21-F34</f>
        <v>68484.584394448611</v>
      </c>
      <c r="G40" s="28">
        <f>G21-G34</f>
        <v>74349.229179651767</v>
      </c>
      <c r="H40" s="28">
        <f>H21-H34</f>
        <v>80102.410341304028</v>
      </c>
      <c r="I40" s="28">
        <f>I21-I34</f>
        <v>85428.757317519397</v>
      </c>
    </row>
    <row r="41" spans="1:9" x14ac:dyDescent="0.2">
      <c r="A41" s="1" t="s">
        <v>151</v>
      </c>
      <c r="C41" s="1">
        <f>'Historical Financials '!C53</f>
        <v>352583</v>
      </c>
      <c r="D41" s="1">
        <f>'Historical Financials '!D53</f>
        <v>364980</v>
      </c>
      <c r="E41" s="28">
        <f>E34+E40</f>
        <v>360596.93172878341</v>
      </c>
      <c r="F41" s="28">
        <f>F34+F40</f>
        <v>368816.41928881191</v>
      </c>
      <c r="G41" s="28">
        <f>G34+G40</f>
        <v>371250.88611880486</v>
      </c>
      <c r="H41" s="28">
        <f>H34+H40</f>
        <v>376916.02781243739</v>
      </c>
      <c r="I41" s="28">
        <f>I34+I40</f>
        <v>382310.20281656343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9A39-B489-7F4F-9CEC-2F45EA4F5F32}">
  <dimension ref="A1:F31"/>
  <sheetViews>
    <sheetView zoomScale="75" zoomScaleNormal="75" workbookViewId="0">
      <selection activeCell="J13" sqref="J13"/>
    </sheetView>
  </sheetViews>
  <sheetFormatPr baseColWidth="10" defaultRowHeight="16" x14ac:dyDescent="0.2"/>
  <cols>
    <col min="1" max="1" width="44.5" customWidth="1"/>
    <col min="2" max="2" width="11.33203125" customWidth="1"/>
  </cols>
  <sheetData>
    <row r="1" spans="1:6" ht="19" x14ac:dyDescent="0.25">
      <c r="A1" s="32" t="s">
        <v>10</v>
      </c>
    </row>
    <row r="2" spans="1:6" ht="19" x14ac:dyDescent="0.25">
      <c r="A2" s="32" t="s">
        <v>152</v>
      </c>
    </row>
    <row r="3" spans="1:6" ht="19" x14ac:dyDescent="0.25">
      <c r="A3" s="32" t="s">
        <v>138</v>
      </c>
    </row>
    <row r="4" spans="1:6" ht="19" x14ac:dyDescent="0.25">
      <c r="A4" s="32" t="s">
        <v>145</v>
      </c>
    </row>
    <row r="6" spans="1:6" s="4" customFormat="1" x14ac:dyDescent="0.2">
      <c r="B6" s="4" t="s">
        <v>111</v>
      </c>
      <c r="C6" s="4" t="s">
        <v>112</v>
      </c>
      <c r="D6" s="4" t="s">
        <v>113</v>
      </c>
      <c r="E6" s="4" t="s">
        <v>114</v>
      </c>
      <c r="F6" s="4" t="s">
        <v>115</v>
      </c>
    </row>
    <row r="7" spans="1:6" x14ac:dyDescent="0.2">
      <c r="A7" s="1" t="s">
        <v>170</v>
      </c>
    </row>
    <row r="8" spans="1:6" x14ac:dyDescent="0.2">
      <c r="A8" s="1" t="s">
        <v>153</v>
      </c>
    </row>
    <row r="9" spans="1:6" x14ac:dyDescent="0.2">
      <c r="A9" t="s">
        <v>33</v>
      </c>
      <c r="B9" s="37">
        <f>'Income Statement'!E28</f>
        <v>96969.789812930452</v>
      </c>
      <c r="C9" s="37">
        <f>'Income Statement'!F28</f>
        <v>96592.351171405448</v>
      </c>
      <c r="D9" s="37">
        <f>'Income Statement'!G28</f>
        <v>96216.381646482536</v>
      </c>
      <c r="E9" s="37">
        <f>'Income Statement'!H28</f>
        <v>95841.875519871799</v>
      </c>
      <c r="F9" s="37">
        <f>'Income Statement'!I28</f>
        <v>95468.827095540735</v>
      </c>
    </row>
    <row r="10" spans="1:6" x14ac:dyDescent="0.2">
      <c r="A10" t="s">
        <v>82</v>
      </c>
      <c r="B10" s="37">
        <f>'Income Statement'!E10*Assumptions!F22</f>
        <v>11488.322834848084</v>
      </c>
      <c r="C10" s="37">
        <f>'Income Statement'!F10*Assumptions!G22</f>
        <v>11371.273007598364</v>
      </c>
      <c r="D10" s="37">
        <f>'Income Statement'!G10*Assumptions!H22</f>
        <v>11332.057552832264</v>
      </c>
      <c r="E10" s="37">
        <f>'Income Statement'!H10*Assumptions!I22</f>
        <v>11308.522786870815</v>
      </c>
      <c r="F10" s="37">
        <f>'Income Statement'!I10*Assumptions!J22</f>
        <v>11249.175360052293</v>
      </c>
    </row>
    <row r="11" spans="1:6" x14ac:dyDescent="0.2">
      <c r="A11" t="s">
        <v>154</v>
      </c>
      <c r="B11" s="37">
        <f>'Income Statement'!E10*Assumptions!F23</f>
        <v>11059.306951745995</v>
      </c>
      <c r="C11" s="37">
        <f>'Income Statement'!F10*Assumptions!G23</f>
        <v>11032.956067474344</v>
      </c>
      <c r="D11" s="37">
        <f>'Income Statement'!G10*Assumptions!H23</f>
        <v>10802.666248594776</v>
      </c>
      <c r="E11" s="37">
        <f>'Income Statement'!H10*Assumptions!I23</f>
        <v>10879.507833864924</v>
      </c>
      <c r="F11" s="37">
        <f>'Income Statement'!I10*Assumptions!J23</f>
        <v>10820.173677948476</v>
      </c>
    </row>
    <row r="12" spans="1:6" x14ac:dyDescent="0.2">
      <c r="A12" t="s">
        <v>155</v>
      </c>
      <c r="B12" s="37">
        <f>-('Balance Sheet'!E11-'Balance Sheet'!D11)</f>
        <v>1776.2850545444453</v>
      </c>
      <c r="C12" s="37">
        <f>-('Balance Sheet'!F11-'Balance Sheet'!E11)</f>
        <v>-423.48257463435584</v>
      </c>
      <c r="D12" s="37">
        <f>-('Balance Sheet'!G11-'Balance Sheet'!F11)</f>
        <v>487.76653777176762</v>
      </c>
      <c r="E12" s="37">
        <f>-('Balance Sheet'!H11-'Balance Sheet'!G11)</f>
        <v>62.615981651357288</v>
      </c>
      <c r="F12" s="37">
        <f>-('Balance Sheet'!I11-'Balance Sheet'!H11)</f>
        <v>42.597431846923428</v>
      </c>
    </row>
    <row r="13" spans="1:6" x14ac:dyDescent="0.2">
      <c r="A13" t="s">
        <v>156</v>
      </c>
      <c r="B13" s="37">
        <f>-('Balance Sheet'!E13-'Balance Sheet'!D13)</f>
        <v>440.24385518096187</v>
      </c>
      <c r="C13" s="37">
        <f>-('Balance Sheet'!F13-'Balance Sheet'!E13)</f>
        <v>-110.11441970867418</v>
      </c>
      <c r="D13" s="37">
        <f>-('Balance Sheet'!G13-'Balance Sheet'!F13)</f>
        <v>117.89326635213729</v>
      </c>
      <c r="E13" s="37">
        <f>-('Balance Sheet'!H13-'Balance Sheet'!G13)</f>
        <v>11.538144600678606</v>
      </c>
      <c r="F13" s="37">
        <f>-('Balance Sheet'!I13-'Balance Sheet'!H13)</f>
        <v>6.5456383238342823</v>
      </c>
    </row>
    <row r="14" spans="1:6" x14ac:dyDescent="0.2">
      <c r="A14" t="s">
        <v>157</v>
      </c>
      <c r="B14" s="37">
        <f>-('Balance Sheet'!E14-'Balance Sheet'!D14)</f>
        <v>-295.5839597143804</v>
      </c>
      <c r="C14" s="37">
        <f>-('Balance Sheet'!F14-'Balance Sheet'!E14)</f>
        <v>173.36917809238003</v>
      </c>
      <c r="D14" s="37">
        <f>-('Balance Sheet'!G14-'Balance Sheet'!F14)</f>
        <v>-21.351238677394576</v>
      </c>
      <c r="E14" s="37">
        <f>-('Balance Sheet'!H14-'Balance Sheet'!G14)</f>
        <v>69.024437866224616</v>
      </c>
      <c r="F14" s="37">
        <f>-('Balance Sheet'!I14-'Balance Sheet'!H14)</f>
        <v>72.974346062625045</v>
      </c>
    </row>
    <row r="15" spans="1:6" x14ac:dyDescent="0.2">
      <c r="A15" t="s">
        <v>158</v>
      </c>
      <c r="B15" s="37">
        <f>'Balance Sheet'!E24-'Balance Sheet'!D24</f>
        <v>-1979.8523934968543</v>
      </c>
      <c r="C15" s="37">
        <f>'Balance Sheet'!F24-'Balance Sheet'!E24</f>
        <v>1010.2369112462329</v>
      </c>
      <c r="D15" s="37">
        <f>'Balance Sheet'!G24-'Balance Sheet'!F24</f>
        <v>-1108.6404720280698</v>
      </c>
      <c r="E15" s="37">
        <f>'Balance Sheet'!H24-'Balance Sheet'!G24</f>
        <v>-120.20694039014052</v>
      </c>
      <c r="F15" s="37">
        <f>'Balance Sheet'!I24-'Balance Sheet'!H24</f>
        <v>-73.759898187359795</v>
      </c>
    </row>
    <row r="16" spans="1:6" x14ac:dyDescent="0.2">
      <c r="A16" t="s">
        <v>159</v>
      </c>
      <c r="B16" s="37">
        <f>'Balance Sheet'!E25-'Balance Sheet'!D25</f>
        <v>-9411.9391536397015</v>
      </c>
      <c r="C16" s="37">
        <f>'Balance Sheet'!F25-'Balance Sheet'!E25</f>
        <v>2755.751175103549</v>
      </c>
      <c r="D16" s="37">
        <f>'Balance Sheet'!G25-'Balance Sheet'!F25</f>
        <v>-2286.9650471013738</v>
      </c>
      <c r="E16" s="37">
        <f>'Balance Sheet'!H25-'Balance Sheet'!G25</f>
        <v>63.403172657999676</v>
      </c>
      <c r="F16" s="37">
        <f>'Balance Sheet'!I25-'Balance Sheet'!H25</f>
        <v>172.55243761844758</v>
      </c>
    </row>
    <row r="17" spans="1:6" x14ac:dyDescent="0.2">
      <c r="A17" t="s">
        <v>160</v>
      </c>
      <c r="B17" s="37">
        <f>'Balance Sheet'!E26-'Balance Sheet'!D26</f>
        <v>-44.562709663572605</v>
      </c>
      <c r="C17" s="37">
        <f>'Balance Sheet'!F26-'Balance Sheet'!E26</f>
        <v>-27.79893518638346</v>
      </c>
      <c r="D17" s="37">
        <f>'Balance Sheet'!G26-'Balance Sheet'!F26</f>
        <v>-34.572436080749867</v>
      </c>
      <c r="E17" s="37">
        <f>'Balance Sheet'!H26-'Balance Sheet'!G26</f>
        <v>-31.235700287604232</v>
      </c>
      <c r="F17" s="37">
        <f>'Balance Sheet'!I26-'Balance Sheet'!H26</f>
        <v>-30.964511520390261</v>
      </c>
    </row>
    <row r="18" spans="1:6" x14ac:dyDescent="0.2">
      <c r="A18" t="s">
        <v>161</v>
      </c>
      <c r="B18" s="37">
        <f>SUM(B9:B17)</f>
        <v>110002.01029273543</v>
      </c>
      <c r="C18" s="37">
        <f>SUM(C9:C17)</f>
        <v>122374.54158139092</v>
      </c>
      <c r="D18" s="37">
        <f>SUM(D9:D17)</f>
        <v>115505.23605814589</v>
      </c>
      <c r="E18" s="37">
        <f>SUM(E9:E17)</f>
        <v>118085.04523670605</v>
      </c>
      <c r="F18" s="37">
        <f>SUM(F9:F17)</f>
        <v>117728.12157768558</v>
      </c>
    </row>
    <row r="19" spans="1:6" x14ac:dyDescent="0.2">
      <c r="B19" s="38"/>
      <c r="C19" s="38"/>
      <c r="D19" s="38"/>
      <c r="E19" s="38"/>
      <c r="F19" s="38"/>
    </row>
    <row r="20" spans="1:6" x14ac:dyDescent="0.2">
      <c r="A20" s="1" t="s">
        <v>162</v>
      </c>
      <c r="B20" s="38"/>
      <c r="C20" s="38"/>
      <c r="D20" s="38"/>
      <c r="E20" s="38"/>
      <c r="F20" s="38"/>
    </row>
    <row r="21" spans="1:6" x14ac:dyDescent="0.2">
      <c r="A21" t="s">
        <v>163</v>
      </c>
      <c r="B21" s="37">
        <f>-'Income Statement'!E10*Assumptions!F24</f>
        <v>-10307.38343762697</v>
      </c>
      <c r="C21" s="37">
        <f>-'Income Statement'!F10*Assumptions!G24</f>
        <v>-9991.7773771045104</v>
      </c>
      <c r="D21" s="37">
        <f>-'Income Statement'!G10*Assumptions!H24</f>
        <v>-10158.142670370989</v>
      </c>
      <c r="E21" s="37">
        <f>-'Income Statement'!H10*Assumptions!I24</f>
        <v>-10073.413982938435</v>
      </c>
      <c r="F21" s="37">
        <f>-'Income Statement'!I10*Assumptions!J24</f>
        <v>-9996.3269046147161</v>
      </c>
    </row>
    <row r="22" spans="1:6" x14ac:dyDescent="0.2">
      <c r="A22" t="s">
        <v>164</v>
      </c>
      <c r="B22" s="37">
        <f>B21</f>
        <v>-10307.38343762697</v>
      </c>
      <c r="C22" s="37">
        <f>C21</f>
        <v>-9991.7773771045104</v>
      </c>
      <c r="D22" s="37">
        <f>D21</f>
        <v>-10158.142670370989</v>
      </c>
      <c r="E22" s="37">
        <f>E21</f>
        <v>-10073.413982938435</v>
      </c>
      <c r="F22" s="37">
        <f>F21</f>
        <v>-9996.3269046147161</v>
      </c>
    </row>
    <row r="23" spans="1:6" x14ac:dyDescent="0.2">
      <c r="B23" s="38"/>
      <c r="C23" s="38"/>
      <c r="D23" s="38"/>
      <c r="E23" s="38"/>
      <c r="F23" s="38"/>
    </row>
    <row r="24" spans="1:6" x14ac:dyDescent="0.2">
      <c r="A24" s="1" t="s">
        <v>165</v>
      </c>
      <c r="B24" s="38"/>
      <c r="C24" s="38"/>
      <c r="D24" s="38"/>
      <c r="E24" s="38"/>
      <c r="F24" s="38"/>
    </row>
    <row r="25" spans="1:6" x14ac:dyDescent="0.2">
      <c r="A25" t="s">
        <v>166</v>
      </c>
      <c r="B25" s="37">
        <f>-'Income Statement'!E28*Assumptions!F25</f>
        <v>-15282.477571871083</v>
      </c>
      <c r="C25" s="37">
        <f>-'Income Statement'!F28*Assumptions!G25</f>
        <v>-15309.781546228136</v>
      </c>
      <c r="D25" s="37">
        <f>-'Income Statement'!G28*Assumptions!H25</f>
        <v>-15121.21695470421</v>
      </c>
      <c r="E25" s="37">
        <f>-'Income Statement'!H28*Assumptions!I25</f>
        <v>-15119.303321056817</v>
      </c>
      <c r="F25" s="37">
        <f>-'Income Statement'!I28*Assumptions!J25</f>
        <v>-15065.296875698445</v>
      </c>
    </row>
    <row r="26" spans="1:6" x14ac:dyDescent="0.2">
      <c r="A26" t="s">
        <v>167</v>
      </c>
      <c r="B26" s="37">
        <f>-'Income Statement'!E10*Assumptions!F26</f>
        <v>-86874.2726044429</v>
      </c>
      <c r="C26" s="37">
        <f>-'Income Statement'!F10*Assumptions!G26</f>
        <v>-89213.722914280472</v>
      </c>
      <c r="D26" s="37">
        <f>-'Income Statement'!G10*Assumptions!H26</f>
        <v>-87207.101037631204</v>
      </c>
      <c r="E26" s="37">
        <f>-'Income Statement'!H10*Assumptions!I26</f>
        <v>-87084.007674960041</v>
      </c>
      <c r="F26" s="37">
        <f>-'Income Statement'!I10*Assumptions!J26</f>
        <v>-87150.205377012957</v>
      </c>
    </row>
    <row r="27" spans="1:6" x14ac:dyDescent="0.2">
      <c r="A27" t="s">
        <v>168</v>
      </c>
      <c r="B27" s="37">
        <f>SUM(B25:B26)</f>
        <v>-102156.75017631399</v>
      </c>
      <c r="C27" s="37">
        <f>SUM(C25:C26)</f>
        <v>-104523.50446050862</v>
      </c>
      <c r="D27" s="37">
        <f>SUM(D25:D26)</f>
        <v>-102328.31799233542</v>
      </c>
      <c r="E27" s="37">
        <f>SUM(E25:E26)</f>
        <v>-102203.31099601687</v>
      </c>
      <c r="F27" s="37">
        <f>SUM(F25:F26)</f>
        <v>-102215.50225271141</v>
      </c>
    </row>
    <row r="28" spans="1:6" x14ac:dyDescent="0.2">
      <c r="B28" s="37"/>
      <c r="C28" s="37"/>
      <c r="D28" s="37"/>
      <c r="E28" s="37"/>
      <c r="F28" s="37"/>
    </row>
    <row r="29" spans="1:6" x14ac:dyDescent="0.2">
      <c r="A29" t="s">
        <v>169</v>
      </c>
      <c r="B29" s="37">
        <f>B18+B22+B27</f>
        <v>-2462.1233212055231</v>
      </c>
      <c r="C29" s="37">
        <f>C18+C22+C27</f>
        <v>7859.2597437778022</v>
      </c>
      <c r="D29" s="37">
        <f>D18+D22+D27</f>
        <v>3018.7753954394866</v>
      </c>
      <c r="E29" s="37">
        <f>E18+E22+E27</f>
        <v>5808.3202577507473</v>
      </c>
      <c r="F29" s="37">
        <f>F18+F22+F27</f>
        <v>5516.2924203594594</v>
      </c>
    </row>
    <row r="30" spans="1:6" x14ac:dyDescent="0.2">
      <c r="A30" t="s">
        <v>81</v>
      </c>
      <c r="B30" s="37">
        <f>'Balance Sheet'!D9</f>
        <v>29943</v>
      </c>
      <c r="C30" s="37">
        <f>B31</f>
        <v>27480.876678794477</v>
      </c>
      <c r="D30" s="37">
        <f>C31</f>
        <v>35340.136422572279</v>
      </c>
      <c r="E30" s="37">
        <f>D31</f>
        <v>38358.911818011766</v>
      </c>
      <c r="F30" s="37">
        <f>E31</f>
        <v>44167.232075762513</v>
      </c>
    </row>
    <row r="31" spans="1:6" x14ac:dyDescent="0.2">
      <c r="A31" t="s">
        <v>107</v>
      </c>
      <c r="B31" s="37">
        <f>B30+B29</f>
        <v>27480.876678794477</v>
      </c>
      <c r="C31" s="37">
        <f>C30+C29</f>
        <v>35340.136422572279</v>
      </c>
      <c r="D31" s="37">
        <f>D30+D29</f>
        <v>38358.911818011766</v>
      </c>
      <c r="E31" s="37">
        <f>E30+E29</f>
        <v>44167.232075762513</v>
      </c>
      <c r="F31" s="37">
        <f>F30+F29</f>
        <v>49683.524496121972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31F2-47A0-0E40-AF40-4F9C0CB777E0}">
  <dimension ref="A1:F6"/>
  <sheetViews>
    <sheetView workbookViewId="0">
      <selection activeCell="F5" sqref="F5"/>
    </sheetView>
  </sheetViews>
  <sheetFormatPr baseColWidth="10" defaultRowHeight="16" x14ac:dyDescent="0.2"/>
  <cols>
    <col min="1" max="1" width="39.83203125" bestFit="1" customWidth="1"/>
    <col min="2" max="6" width="6.1640625" bestFit="1" customWidth="1"/>
  </cols>
  <sheetData>
    <row r="1" spans="1:6" x14ac:dyDescent="0.2">
      <c r="A1" s="1" t="s">
        <v>171</v>
      </c>
      <c r="B1" s="15"/>
      <c r="C1" s="15"/>
      <c r="D1" s="15"/>
      <c r="E1" s="15"/>
      <c r="F1" s="15"/>
    </row>
    <row r="2" spans="1:6" x14ac:dyDescent="0.2">
      <c r="A2" s="15"/>
      <c r="B2" s="15"/>
      <c r="C2" s="15"/>
      <c r="D2" s="15"/>
      <c r="E2" s="15"/>
      <c r="F2" s="15"/>
    </row>
    <row r="3" spans="1:6" x14ac:dyDescent="0.2">
      <c r="A3" s="1" t="s">
        <v>172</v>
      </c>
      <c r="B3" s="1" t="s">
        <v>111</v>
      </c>
      <c r="C3" s="1" t="s">
        <v>112</v>
      </c>
      <c r="D3" s="1" t="s">
        <v>113</v>
      </c>
      <c r="E3" s="1" t="s">
        <v>114</v>
      </c>
      <c r="F3" s="1" t="s">
        <v>115</v>
      </c>
    </row>
    <row r="4" spans="1:6" x14ac:dyDescent="0.2">
      <c r="A4" s="15" t="s">
        <v>173</v>
      </c>
      <c r="B4" s="28">
        <f>'Balance Sheet'!E21-'Balance Sheet'!E41</f>
        <v>0</v>
      </c>
      <c r="C4" s="28">
        <f>'Balance Sheet'!F21-'Balance Sheet'!F41</f>
        <v>0</v>
      </c>
      <c r="D4" s="28">
        <f>'Balance Sheet'!G21-'Balance Sheet'!G41</f>
        <v>0</v>
      </c>
      <c r="E4" s="28">
        <f>'Balance Sheet'!H21-'Balance Sheet'!H41</f>
        <v>0</v>
      </c>
      <c r="F4" s="28">
        <f>'Balance Sheet'!I21-'Balance Sheet'!I41</f>
        <v>0</v>
      </c>
    </row>
    <row r="5" spans="1:6" x14ac:dyDescent="0.2">
      <c r="A5" s="15" t="s">
        <v>174</v>
      </c>
      <c r="B5" s="28">
        <f>'Cash Flow'!B31-'Balance Sheet'!E9</f>
        <v>0</v>
      </c>
      <c r="C5" s="28">
        <f>'Cash Flow'!C31-'Balance Sheet'!F9</f>
        <v>0</v>
      </c>
      <c r="D5" s="28">
        <f>'Cash Flow'!D31-'Balance Sheet'!G9</f>
        <v>0</v>
      </c>
      <c r="E5" s="28">
        <f>'Cash Flow'!E31-'Balance Sheet'!H9</f>
        <v>0</v>
      </c>
      <c r="F5" s="28">
        <f>'Cash Flow'!F31-'Balance Sheet'!I9</f>
        <v>0</v>
      </c>
    </row>
    <row r="6" spans="1:6" x14ac:dyDescent="0.2">
      <c r="A6" s="15" t="s">
        <v>175</v>
      </c>
      <c r="B6" s="28">
        <f>0</f>
        <v>0</v>
      </c>
      <c r="C6" s="28">
        <f>'Cash Flow'!C30-'Cash Flow'!B31</f>
        <v>0</v>
      </c>
      <c r="D6" s="28">
        <f>'Cash Flow'!D30-'Cash Flow'!C31</f>
        <v>0</v>
      </c>
      <c r="E6" s="28">
        <f>'Cash Flow'!E30-'Cash Flow'!D31</f>
        <v>0</v>
      </c>
      <c r="F6" s="28">
        <f>'Cash Flow'!F30-'Cash Flow'!E31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DCC3-7048-B143-B4C5-4F11718A8F7E}">
  <dimension ref="A1:F19"/>
  <sheetViews>
    <sheetView workbookViewId="0">
      <selection activeCell="C24" sqref="C24"/>
    </sheetView>
  </sheetViews>
  <sheetFormatPr baseColWidth="10" defaultRowHeight="16" x14ac:dyDescent="0.2"/>
  <cols>
    <col min="1" max="1" width="39.1640625" customWidth="1"/>
  </cols>
  <sheetData>
    <row r="1" spans="1:6" ht="19" x14ac:dyDescent="0.25">
      <c r="A1" s="32" t="s">
        <v>10</v>
      </c>
    </row>
    <row r="2" spans="1:6" ht="19" x14ac:dyDescent="0.25">
      <c r="A2" s="32" t="s">
        <v>176</v>
      </c>
    </row>
    <row r="3" spans="1:6" ht="19" x14ac:dyDescent="0.25">
      <c r="A3" s="32" t="s">
        <v>177</v>
      </c>
    </row>
    <row r="4" spans="1:6" ht="19" x14ac:dyDescent="0.25">
      <c r="A4" s="32" t="s">
        <v>178</v>
      </c>
    </row>
    <row r="6" spans="1:6" x14ac:dyDescent="0.2">
      <c r="A6" s="1" t="s">
        <v>179</v>
      </c>
      <c r="B6" s="4" t="s">
        <v>111</v>
      </c>
      <c r="C6" s="4" t="s">
        <v>112</v>
      </c>
      <c r="D6" s="4" t="s">
        <v>113</v>
      </c>
      <c r="E6" s="4" t="s">
        <v>114</v>
      </c>
      <c r="F6" s="4" t="s">
        <v>115</v>
      </c>
    </row>
    <row r="7" spans="1:6" x14ac:dyDescent="0.2">
      <c r="A7" s="15" t="s">
        <v>180</v>
      </c>
      <c r="B7" s="37">
        <f>'Income Statement'!E10</f>
        <v>389512.96185313532</v>
      </c>
      <c r="C7" s="37">
        <f>'Income Statement'!F10</f>
        <v>387996.84798445681</v>
      </c>
      <c r="D7" s="37">
        <f>'Income Statement'!G10</f>
        <v>386486.63533470529</v>
      </c>
      <c r="E7" s="37">
        <f>'Income Statement'!H10</f>
        <v>384982.30093437596</v>
      </c>
      <c r="F7" s="37">
        <f>'Income Statement'!I10</f>
        <v>383483.82190336892</v>
      </c>
    </row>
    <row r="8" spans="1:6" x14ac:dyDescent="0.2">
      <c r="A8" t="s">
        <v>44</v>
      </c>
      <c r="B8" s="36">
        <f>Assumptions!F5</f>
        <v>-3.8923322640291302E-3</v>
      </c>
      <c r="C8" s="36">
        <f>Assumptions!G5</f>
        <v>-3.8923322640291302E-3</v>
      </c>
      <c r="D8" s="36">
        <f>Assumptions!H5</f>
        <v>-3.8923322640291302E-3</v>
      </c>
      <c r="E8" s="36">
        <f>Assumptions!I5</f>
        <v>-3.8923322640291302E-3</v>
      </c>
      <c r="F8" s="36">
        <f>Assumptions!J5</f>
        <v>-3.8923322640291302E-3</v>
      </c>
    </row>
    <row r="9" spans="1:6" x14ac:dyDescent="0.2">
      <c r="A9" t="s">
        <v>25</v>
      </c>
      <c r="B9" s="37">
        <f>'Income Statement'!E17</f>
        <v>173524.27213738966</v>
      </c>
      <c r="C9" s="37">
        <f>'Income Statement'!F17</f>
        <v>172848.85801435713</v>
      </c>
      <c r="D9" s="37">
        <f>'Income Statement'!G17</f>
        <v>172176.07282750725</v>
      </c>
      <c r="E9" s="37">
        <f>'Income Statement'!H17</f>
        <v>171505.9063441469</v>
      </c>
      <c r="F9" s="37">
        <f>'Income Statement'!I17</f>
        <v>170838.34837141202</v>
      </c>
    </row>
    <row r="10" spans="1:6" x14ac:dyDescent="0.2">
      <c r="A10" t="s">
        <v>45</v>
      </c>
      <c r="B10" s="36">
        <f>'Income Statement'!E17/'Income Statement'!E10</f>
        <v>0.44549036651267193</v>
      </c>
      <c r="C10" s="36">
        <f>'Income Statement'!F17/'Income Statement'!F10</f>
        <v>0.44549036651267199</v>
      </c>
      <c r="D10" s="36">
        <f>'Income Statement'!G17/'Income Statement'!G10</f>
        <v>0.44549036651267193</v>
      </c>
      <c r="E10" s="36">
        <f>'Income Statement'!H17/'Income Statement'!H10</f>
        <v>0.44549036651267193</v>
      </c>
      <c r="F10" s="36">
        <f>'Income Statement'!I17/'Income Statement'!I10</f>
        <v>0.44549036651267193</v>
      </c>
    </row>
    <row r="11" spans="1:6" x14ac:dyDescent="0.2">
      <c r="A11" t="s">
        <v>29</v>
      </c>
      <c r="B11" s="37">
        <f>'Income Statement'!E24</f>
        <v>118957.75132361212</v>
      </c>
      <c r="C11" s="37">
        <f>'Income Statement'!F24</f>
        <v>118494.72823007886</v>
      </c>
      <c r="D11" s="37">
        <f>'Income Statement'!G24</f>
        <v>118033.50737627155</v>
      </c>
      <c r="E11" s="37">
        <f>'Income Statement'!H24</f>
        <v>117574.08174727437</v>
      </c>
      <c r="F11" s="37">
        <f>'Income Statement'!I24</f>
        <v>117116.44435547585</v>
      </c>
    </row>
    <row r="12" spans="1:6" x14ac:dyDescent="0.2">
      <c r="A12" t="s">
        <v>48</v>
      </c>
      <c r="B12" s="36">
        <f>'Income Statement'!E24/'Income Statement'!E10</f>
        <v>0.30540126510209631</v>
      </c>
      <c r="C12" s="36">
        <f>'Income Statement'!F24/'Income Statement'!F10</f>
        <v>0.30540126510209631</v>
      </c>
      <c r="D12" s="36">
        <f>'Income Statement'!G24/'Income Statement'!G10</f>
        <v>0.30540126510209631</v>
      </c>
      <c r="E12" s="36">
        <f>'Income Statement'!H24/'Income Statement'!H10</f>
        <v>0.30540126510209631</v>
      </c>
      <c r="F12" s="36">
        <f>'Income Statement'!I24/'Income Statement'!I10</f>
        <v>0.30540126510209625</v>
      </c>
    </row>
    <row r="13" spans="1:6" x14ac:dyDescent="0.2">
      <c r="A13" t="s">
        <v>33</v>
      </c>
      <c r="B13" s="37">
        <f>'Income Statement'!E28</f>
        <v>96969.789812930452</v>
      </c>
      <c r="C13" s="37">
        <f>'Income Statement'!F28</f>
        <v>96592.351171405448</v>
      </c>
      <c r="D13" s="37">
        <f>'Income Statement'!G28</f>
        <v>96216.381646482536</v>
      </c>
      <c r="E13" s="37">
        <f>'Income Statement'!H28</f>
        <v>95841.875519871799</v>
      </c>
      <c r="F13" s="37">
        <f>'Income Statement'!I28</f>
        <v>95468.827095540735</v>
      </c>
    </row>
    <row r="14" spans="1:6" x14ac:dyDescent="0.2">
      <c r="A14" t="s">
        <v>49</v>
      </c>
      <c r="B14" s="36">
        <f>'Income Statement'!E28/'Income Statement'!E10</f>
        <v>0.24895138110832013</v>
      </c>
      <c r="C14" s="36">
        <f>'Income Statement'!F28/'Income Statement'!F10</f>
        <v>0.2489513811083201</v>
      </c>
      <c r="D14" s="36">
        <f>'Income Statement'!G28/'Income Statement'!G10</f>
        <v>0.24895138110832007</v>
      </c>
      <c r="E14" s="36">
        <f>'Income Statement'!H28/'Income Statement'!H10</f>
        <v>0.24895138110832007</v>
      </c>
      <c r="F14" s="36">
        <f>'Income Statement'!I28/'Income Statement'!I10</f>
        <v>0.24895138110832007</v>
      </c>
    </row>
    <row r="15" spans="1:6" x14ac:dyDescent="0.2">
      <c r="A15" t="s">
        <v>35</v>
      </c>
      <c r="B15" s="40">
        <f>'Income Statement'!E31</f>
        <v>6.293431460081889</v>
      </c>
      <c r="C15" s="40">
        <f>'Income Statement'!F31</f>
        <v>6.268935333758356</v>
      </c>
      <c r="D15" s="40">
        <f>'Income Statement'!G31</f>
        <v>6.2445345544976547</v>
      </c>
      <c r="E15" s="40">
        <f>'Income Statement'!H31</f>
        <v>6.2202287511773386</v>
      </c>
      <c r="F15" s="40">
        <f>'Income Statement'!I31</f>
        <v>6.1960175541194893</v>
      </c>
    </row>
    <row r="16" spans="1:6" x14ac:dyDescent="0.2">
      <c r="A16" t="s">
        <v>181</v>
      </c>
      <c r="B16" s="37">
        <f>'Cash Flow'!B31</f>
        <v>27480.876678794477</v>
      </c>
      <c r="C16" s="37">
        <f>'Cash Flow'!C31</f>
        <v>35340.136422572279</v>
      </c>
      <c r="D16" s="37">
        <f>'Cash Flow'!D31</f>
        <v>38358.911818011766</v>
      </c>
      <c r="E16" s="37">
        <f>'Cash Flow'!E31</f>
        <v>44167.232075762513</v>
      </c>
      <c r="F16" s="37">
        <f>'Cash Flow'!F31</f>
        <v>49683.524496121972</v>
      </c>
    </row>
    <row r="17" spans="1:6" x14ac:dyDescent="0.2">
      <c r="A17" t="s">
        <v>63</v>
      </c>
      <c r="B17" s="37">
        <f>'Balance Sheet'!E21</f>
        <v>360596.93172878341</v>
      </c>
      <c r="C17" s="37">
        <f>'Balance Sheet'!F21</f>
        <v>368816.41928881191</v>
      </c>
      <c r="D17" s="37">
        <f>'Balance Sheet'!G21</f>
        <v>371250.88611880486</v>
      </c>
      <c r="E17" s="37">
        <f>'Balance Sheet'!H21</f>
        <v>376916.02781243739</v>
      </c>
      <c r="F17" s="37">
        <f>'Balance Sheet'!I21</f>
        <v>382310.20281656343</v>
      </c>
    </row>
    <row r="18" spans="1:6" x14ac:dyDescent="0.2">
      <c r="A18" t="s">
        <v>135</v>
      </c>
      <c r="B18" s="37">
        <f>'Balance Sheet'!E27+'Balance Sheet'!E28+'Balance Sheet'!E31</f>
        <v>106629</v>
      </c>
      <c r="C18" s="37">
        <f>'Balance Sheet'!F27+'Balance Sheet'!F28+'Balance Sheet'!F31</f>
        <v>106629</v>
      </c>
      <c r="D18" s="37">
        <f>'Balance Sheet'!G27+'Balance Sheet'!G28+'Balance Sheet'!G31</f>
        <v>106629</v>
      </c>
      <c r="E18" s="37">
        <f>'Balance Sheet'!H27+'Balance Sheet'!H28+'Balance Sheet'!H31</f>
        <v>106629</v>
      </c>
      <c r="F18" s="37">
        <f>'Balance Sheet'!I27+'Balance Sheet'!I28+'Balance Sheet'!I31</f>
        <v>106629</v>
      </c>
    </row>
    <row r="19" spans="1:6" x14ac:dyDescent="0.2">
      <c r="A19" t="s">
        <v>182</v>
      </c>
      <c r="B19" s="37">
        <f>'Balance Sheet'!E40</f>
        <v>64003.285985583556</v>
      </c>
      <c r="C19" s="37">
        <f>'Balance Sheet'!F40</f>
        <v>68484.584394448611</v>
      </c>
      <c r="D19" s="37">
        <f>'Balance Sheet'!G40</f>
        <v>74349.229179651767</v>
      </c>
      <c r="E19" s="37">
        <f>'Balance Sheet'!H40</f>
        <v>80102.410341304028</v>
      </c>
      <c r="F19" s="37">
        <f>'Balance Sheet'!I40</f>
        <v>85428.757317519397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Historical Financials </vt:lpstr>
      <vt:lpstr>Assumptions</vt:lpstr>
      <vt:lpstr>Income Statement</vt:lpstr>
      <vt:lpstr>Balance Sheet</vt:lpstr>
      <vt:lpstr>Cash Flow</vt:lpstr>
      <vt:lpstr>Checks</vt:lpstr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DIVYA.LACHMAN</dc:creator>
  <cp:lastModifiedBy>DIVYA.LACHMAN</cp:lastModifiedBy>
  <dcterms:created xsi:type="dcterms:W3CDTF">2026-06-09T18:58:11Z</dcterms:created>
  <dcterms:modified xsi:type="dcterms:W3CDTF">2026-06-11T19:19:53Z</dcterms:modified>
</cp:coreProperties>
</file>